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GATEWAY Worksheets-20260427T105736Z-3-001\GATEWAY Worksheets\"/>
    </mc:Choice>
  </mc:AlternateContent>
  <xr:revisionPtr revIDLastSave="0" documentId="8_{FA987FD9-0399-4FDA-8282-A0BEE7581A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Kffi/c8oPU/Kg7rUexSZJOZFQD7J9f5LZ4o3100m9c="/>
    </ext>
  </extLst>
</workbook>
</file>

<file path=xl/calcChain.xml><?xml version="1.0" encoding="utf-8"?>
<calcChain xmlns="http://schemas.openxmlformats.org/spreadsheetml/2006/main">
  <c r="D78" i="1" l="1"/>
  <c r="C78" i="1"/>
  <c r="E77" i="1"/>
  <c r="E76" i="1"/>
  <c r="E75" i="1"/>
  <c r="E74" i="1"/>
  <c r="E73" i="1"/>
  <c r="D70" i="1"/>
  <c r="C70" i="1"/>
  <c r="E69" i="1"/>
  <c r="E68" i="1"/>
  <c r="E67" i="1"/>
  <c r="E66" i="1"/>
  <c r="E70" i="1" s="1"/>
  <c r="D63" i="1"/>
  <c r="C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D41" i="1"/>
  <c r="C41" i="1"/>
  <c r="E40" i="1"/>
  <c r="E39" i="1"/>
  <c r="E38" i="1"/>
  <c r="E37" i="1"/>
  <c r="E36" i="1"/>
  <c r="E35" i="1"/>
  <c r="D32" i="1"/>
  <c r="C32" i="1"/>
  <c r="E31" i="1"/>
  <c r="E30" i="1"/>
  <c r="E29" i="1"/>
  <c r="E28" i="1"/>
  <c r="E27" i="1"/>
  <c r="E26" i="1"/>
  <c r="D23" i="1"/>
  <c r="C23" i="1"/>
  <c r="E22" i="1"/>
  <c r="E21" i="1"/>
  <c r="E20" i="1"/>
  <c r="E19" i="1"/>
  <c r="E18" i="1"/>
  <c r="E17" i="1"/>
  <c r="E13" i="1"/>
  <c r="C80" i="1" l="1"/>
  <c r="D80" i="1"/>
  <c r="D82" i="1" s="1"/>
  <c r="E78" i="1"/>
  <c r="E23" i="1"/>
  <c r="E32" i="1"/>
  <c r="E80" i="1" s="1"/>
  <c r="E41" i="1"/>
  <c r="E63" i="1"/>
</calcChain>
</file>

<file path=xl/sharedStrings.xml><?xml version="1.0" encoding="utf-8"?>
<sst xmlns="http://schemas.openxmlformats.org/spreadsheetml/2006/main" count="76" uniqueCount="63">
  <si>
    <t>The Smart Stewards Budgeting Worksheet</t>
  </si>
  <si>
    <t>Income/ Cash Inflows</t>
  </si>
  <si>
    <t>Salaries  (after taxes)</t>
  </si>
  <si>
    <t>Bonuses and  overtime</t>
  </si>
  <si>
    <t>Other Allowances</t>
  </si>
  <si>
    <t>Interests and  dividends</t>
  </si>
  <si>
    <t>Rental Income</t>
  </si>
  <si>
    <t>Tax refund</t>
  </si>
  <si>
    <t>Gifts</t>
  </si>
  <si>
    <t>Other income</t>
  </si>
  <si>
    <t>Income Totals</t>
  </si>
  <si>
    <t>Budgeted</t>
  </si>
  <si>
    <t>Actual</t>
  </si>
  <si>
    <t>Difference</t>
  </si>
  <si>
    <t>Housing</t>
  </si>
  <si>
    <t>Mortgage/Rent</t>
  </si>
  <si>
    <t>Home/Rental Insurance</t>
  </si>
  <si>
    <t>Utilities (Gas/Heat/Electricity/Water)</t>
  </si>
  <si>
    <t>Others</t>
  </si>
  <si>
    <t>Lawn/Garden</t>
  </si>
  <si>
    <t>Home  Repairs/Improvements</t>
  </si>
  <si>
    <t>Sub Total</t>
  </si>
  <si>
    <t>Transportation</t>
  </si>
  <si>
    <t>Fuel/ Gas</t>
  </si>
  <si>
    <t>Car Insurance</t>
  </si>
  <si>
    <t>Bus/Taxi/Train Fare</t>
  </si>
  <si>
    <t>Car Repairs</t>
  </si>
  <si>
    <t>Registration/License</t>
  </si>
  <si>
    <t>Parking Fees</t>
  </si>
  <si>
    <t>Medicals</t>
  </si>
  <si>
    <t>Health Insurance</t>
  </si>
  <si>
    <t>Children's Medical Needs</t>
  </si>
  <si>
    <t>Prescriptions</t>
  </si>
  <si>
    <t>Health Club Dues</t>
  </si>
  <si>
    <t>Life Insurance</t>
  </si>
  <si>
    <t>Personal Grooming</t>
  </si>
  <si>
    <t>Groceries</t>
  </si>
  <si>
    <t>Toiletries</t>
  </si>
  <si>
    <t>Clothing</t>
  </si>
  <si>
    <t>Dining Out</t>
  </si>
  <si>
    <t>Entertainment</t>
  </si>
  <si>
    <t>Gifts and Charity</t>
  </si>
  <si>
    <t>Tithes and Offerings</t>
  </si>
  <si>
    <t>Vacation/Travel</t>
  </si>
  <si>
    <t>Special Events</t>
  </si>
  <si>
    <t>Books/Newspapers/Magazines</t>
  </si>
  <si>
    <t>Hobbies</t>
  </si>
  <si>
    <t>Sporting events</t>
  </si>
  <si>
    <t>Mobile Phone (data plan, voice)</t>
  </si>
  <si>
    <t>Online video streaming</t>
  </si>
  <si>
    <t>Internet</t>
  </si>
  <si>
    <t>Savings</t>
  </si>
  <si>
    <t>Emergency Fund</t>
  </si>
  <si>
    <t>Transfer to Savings Account</t>
  </si>
  <si>
    <t>Retirement Savings/ Pension</t>
  </si>
  <si>
    <t>Investments</t>
  </si>
  <si>
    <t>Debts and Obligations</t>
  </si>
  <si>
    <t>Student Loan</t>
  </si>
  <si>
    <t>Other  Loans</t>
  </si>
  <si>
    <t>Credit Cards</t>
  </si>
  <si>
    <t>Grand Total Expenses</t>
  </si>
  <si>
    <t>Difference Between Income and Expenses</t>
  </si>
  <si>
    <t xml:space="preserve">Supported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</si>
</sst>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scheme val="minor"/>
    </font>
    <font>
      <b/>
      <sz val="20"/>
      <color theme="1"/>
      <name val="Sitka small"/>
    </font>
    <font>
      <sz val="11"/>
      <color rgb="FF000000"/>
      <name val="Sitka small"/>
    </font>
    <font>
      <sz val="11"/>
      <color theme="1"/>
      <name val="Sitka small"/>
    </font>
    <font>
      <sz val="10"/>
      <name val="Times New Roman"/>
    </font>
    <font>
      <b/>
      <sz val="11"/>
      <color theme="1"/>
      <name val="Sitka small"/>
    </font>
    <font>
      <sz val="11"/>
      <color rgb="FFFF0000"/>
      <name val="Sitka small"/>
    </font>
    <font>
      <b/>
      <sz val="11"/>
      <color rgb="FF000000"/>
      <name val="Sitka small"/>
    </font>
    <font>
      <i/>
      <sz val="7"/>
      <color rgb="FF888888"/>
      <name val="Arial"/>
    </font>
    <font>
      <sz val="10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A4A4A4"/>
      </right>
      <top/>
      <bottom/>
      <diagonal/>
    </border>
    <border>
      <left/>
      <right style="thin">
        <color rgb="FFA4A4A4"/>
      </right>
      <top/>
      <bottom style="thin">
        <color rgb="FF7F7F7F"/>
      </bottom>
      <diagonal/>
    </border>
    <border>
      <left style="thin">
        <color rgb="FFA4A4A4"/>
      </left>
      <right/>
      <top/>
      <bottom style="thin">
        <color rgb="FF7F7F7F"/>
      </bottom>
      <diagonal/>
    </border>
    <border>
      <left/>
      <right style="thin">
        <color rgb="FFA4A4A4"/>
      </right>
      <top style="thin">
        <color rgb="FF7F7F7F"/>
      </top>
      <bottom style="thin">
        <color rgb="FF7F7F7F"/>
      </bottom>
      <diagonal/>
    </border>
    <border>
      <left style="thin">
        <color rgb="FFA4A4A4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A4A4A4"/>
      </left>
      <right style="thin">
        <color rgb="FFA4A4A4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A4A4A4"/>
      </right>
      <top style="thin">
        <color rgb="FF7F7F7F"/>
      </top>
      <bottom/>
      <diagonal/>
    </border>
    <border>
      <left/>
      <right style="thin">
        <color rgb="FFA4A4A4"/>
      </right>
      <top/>
      <bottom/>
      <diagonal/>
    </border>
    <border>
      <left/>
      <right/>
      <top style="medium">
        <color rgb="FFC0392B"/>
      </top>
      <bottom/>
      <diagonal/>
    </border>
  </borders>
  <cellStyleXfs count="1">
    <xf numFmtId="0" fontId="0" fillId="0" borderId="0"/>
  </cellStyleXfs>
  <cellXfs count="67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4" fontId="3" fillId="2" borderId="4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4" fontId="2" fillId="0" borderId="5" xfId="0" applyNumberFormat="1" applyFont="1" applyBorder="1" applyAlignment="1">
      <alignment horizontal="center" shrinkToFit="1"/>
    </xf>
    <xf numFmtId="0" fontId="2" fillId="0" borderId="0" xfId="0" applyFont="1" applyAlignment="1">
      <alignment horizontal="center" wrapText="1"/>
    </xf>
    <xf numFmtId="0" fontId="3" fillId="0" borderId="7" xfId="0" applyFont="1" applyBorder="1" applyAlignment="1">
      <alignment horizontal="left" vertical="top" wrapText="1"/>
    </xf>
    <xf numFmtId="4" fontId="2" fillId="0" borderId="7" xfId="0" applyNumberFormat="1" applyFont="1" applyBorder="1" applyAlignment="1">
      <alignment horizontal="center" shrinkToFit="1"/>
    </xf>
    <xf numFmtId="0" fontId="2" fillId="0" borderId="0" xfId="0" applyFont="1" applyAlignment="1">
      <alignment horizontal="left" wrapText="1"/>
    </xf>
    <xf numFmtId="4" fontId="2" fillId="0" borderId="9" xfId="0" applyNumberFormat="1" applyFont="1" applyBorder="1" applyAlignment="1">
      <alignment horizontal="center" shrinkToFit="1"/>
    </xf>
    <xf numFmtId="4" fontId="2" fillId="0" borderId="0" xfId="0" applyNumberFormat="1" applyFont="1" applyAlignment="1">
      <alignment horizontal="center" wrapText="1"/>
    </xf>
    <xf numFmtId="0" fontId="3" fillId="2" borderId="4" xfId="0" applyFont="1" applyFill="1" applyBorder="1" applyAlignment="1">
      <alignment horizontal="left" vertical="top" wrapText="1"/>
    </xf>
    <xf numFmtId="4" fontId="3" fillId="0" borderId="11" xfId="0" applyNumberFormat="1" applyFont="1" applyBorder="1" applyAlignment="1">
      <alignment horizontal="center" wrapText="1"/>
    </xf>
    <xf numFmtId="4" fontId="2" fillId="0" borderId="12" xfId="0" applyNumberFormat="1" applyFont="1" applyBorder="1" applyAlignment="1">
      <alignment horizontal="center" shrinkToFit="1"/>
    </xf>
    <xf numFmtId="4" fontId="3" fillId="0" borderId="13" xfId="0" applyNumberFormat="1" applyFont="1" applyBorder="1" applyAlignment="1">
      <alignment horizontal="center" wrapText="1"/>
    </xf>
    <xf numFmtId="4" fontId="2" fillId="0" borderId="14" xfId="0" applyNumberFormat="1" applyFont="1" applyBorder="1" applyAlignment="1">
      <alignment horizontal="center" shrinkToFit="1"/>
    </xf>
    <xf numFmtId="0" fontId="5" fillId="0" borderId="7" xfId="0" applyFont="1" applyBorder="1" applyAlignment="1">
      <alignment horizontal="left" vertical="top" wrapText="1"/>
    </xf>
    <xf numFmtId="4" fontId="6" fillId="0" borderId="7" xfId="0" applyNumberFormat="1" applyFont="1" applyBorder="1" applyAlignment="1">
      <alignment horizontal="center" wrapText="1"/>
    </xf>
    <xf numFmtId="4" fontId="3" fillId="0" borderId="7" xfId="0" applyNumberFormat="1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 wrapText="1"/>
    </xf>
    <xf numFmtId="4" fontId="2" fillId="0" borderId="16" xfId="0" applyNumberFormat="1" applyFont="1" applyBorder="1" applyAlignment="1">
      <alignment horizontal="center" shrinkToFit="1"/>
    </xf>
    <xf numFmtId="0" fontId="5" fillId="0" borderId="11" xfId="0" applyFont="1" applyBorder="1" applyAlignment="1">
      <alignment horizontal="left" vertical="top" wrapText="1"/>
    </xf>
    <xf numFmtId="4" fontId="6" fillId="0" borderId="16" xfId="0" applyNumberFormat="1" applyFont="1" applyBorder="1" applyAlignment="1">
      <alignment horizontal="center" shrinkToFit="1"/>
    </xf>
    <xf numFmtId="0" fontId="3" fillId="0" borderId="11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center" wrapText="1"/>
    </xf>
    <xf numFmtId="4" fontId="6" fillId="0" borderId="17" xfId="0" applyNumberFormat="1" applyFont="1" applyBorder="1" applyAlignment="1">
      <alignment horizontal="center" shrinkToFit="1"/>
    </xf>
    <xf numFmtId="0" fontId="5" fillId="0" borderId="0" xfId="0" applyFont="1" applyAlignment="1">
      <alignment horizontal="left" vertical="top" wrapText="1"/>
    </xf>
    <xf numFmtId="4" fontId="2" fillId="0" borderId="17" xfId="0" applyNumberFormat="1" applyFont="1" applyBorder="1" applyAlignment="1">
      <alignment horizontal="center" shrinkToFit="1"/>
    </xf>
    <xf numFmtId="0" fontId="5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center" shrinkToFit="1"/>
    </xf>
    <xf numFmtId="0" fontId="3" fillId="0" borderId="21" xfId="0" applyFont="1" applyBorder="1" applyAlignment="1">
      <alignment horizontal="left" vertical="top" wrapText="1"/>
    </xf>
    <xf numFmtId="4" fontId="2" fillId="0" borderId="21" xfId="0" applyNumberFormat="1" applyFont="1" applyBorder="1" applyAlignment="1">
      <alignment horizontal="center" shrinkToFit="1"/>
    </xf>
    <xf numFmtId="4" fontId="2" fillId="0" borderId="0" xfId="0" applyNumberFormat="1" applyFont="1" applyAlignment="1">
      <alignment horizontal="center" shrinkToFit="1"/>
    </xf>
    <xf numFmtId="0" fontId="5" fillId="0" borderId="13" xfId="0" applyFont="1" applyBorder="1" applyAlignment="1">
      <alignment horizontal="right" vertical="top" wrapText="1"/>
    </xf>
    <xf numFmtId="4" fontId="2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top"/>
    </xf>
    <xf numFmtId="4" fontId="2" fillId="2" borderId="4" xfId="0" applyNumberFormat="1" applyFont="1" applyFill="1" applyBorder="1" applyAlignment="1">
      <alignment horizontal="center"/>
    </xf>
    <xf numFmtId="0" fontId="2" fillId="4" borderId="22" xfId="0" applyFont="1" applyFill="1" applyBorder="1" applyAlignment="1">
      <alignment horizontal="left" vertical="top"/>
    </xf>
    <xf numFmtId="4" fontId="2" fillId="4" borderId="22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left" vertical="top"/>
    </xf>
    <xf numFmtId="0" fontId="8" fillId="4" borderId="4" xfId="0" applyFont="1" applyFill="1" applyBorder="1" applyAlignment="1">
      <alignment horizontal="left" vertical="center"/>
    </xf>
    <xf numFmtId="4" fontId="2" fillId="4" borderId="4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/>
    </xf>
    <xf numFmtId="0" fontId="5" fillId="3" borderId="18" xfId="0" applyFont="1" applyFill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257174</xdr:colOff>
      <xdr:row>0</xdr:row>
      <xdr:rowOff>104775</xdr:rowOff>
    </xdr:from>
    <xdr:to>
      <xdr:col>4</xdr:col>
      <xdr:colOff>1781174</xdr:colOff>
      <xdr:row>1</xdr:row>
      <xdr:rowOff>75911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0554E4-1AAC-4E7C-A256-82CEE1195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104775"/>
          <a:ext cx="7781925" cy="2733386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84</xdr:row>
      <xdr:rowOff>0</xdr:rowOff>
    </xdr:from>
    <xdr:to>
      <xdr:col>4</xdr:col>
      <xdr:colOff>1624240</xdr:colOff>
      <xdr:row>90</xdr:row>
      <xdr:rowOff>198120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B5C1B7-D144-4C05-8BF2-E798101FB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23612475"/>
          <a:ext cx="1271815" cy="1312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E94" sqref="E94"/>
    </sheetView>
  </sheetViews>
  <sheetFormatPr defaultColWidth="14.5" defaultRowHeight="15" customHeight="1" x14ac:dyDescent="0.2"/>
  <cols>
    <col min="1" max="1" width="7.5" customWidth="1"/>
    <col min="2" max="2" width="57.33203125" customWidth="1"/>
    <col min="3" max="3" width="22.1640625" customWidth="1"/>
    <col min="4" max="4" width="22.5" customWidth="1"/>
    <col min="5" max="5" width="31.6640625" customWidth="1"/>
    <col min="6" max="6" width="9.33203125" customWidth="1"/>
    <col min="7" max="25" width="8.6640625" customWidth="1"/>
  </cols>
  <sheetData>
    <row r="1" spans="1:26" ht="217.5" customHeight="1" x14ac:dyDescent="0.2">
      <c r="A1" s="65"/>
      <c r="B1" s="65"/>
      <c r="C1" s="65"/>
      <c r="D1" s="65"/>
      <c r="E1" s="65"/>
    </row>
    <row r="2" spans="1:26" ht="120" customHeight="1" x14ac:dyDescent="0.2">
      <c r="A2" s="46" t="s">
        <v>0</v>
      </c>
      <c r="B2" s="47"/>
      <c r="C2" s="47"/>
      <c r="D2" s="47"/>
      <c r="E2" s="4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 x14ac:dyDescent="0.35">
      <c r="A3" s="2"/>
      <c r="B3" s="48" t="s">
        <v>1</v>
      </c>
      <c r="C3" s="49"/>
      <c r="D3" s="50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 x14ac:dyDescent="0.35">
      <c r="A4" s="4">
        <v>1</v>
      </c>
      <c r="B4" s="51" t="s">
        <v>2</v>
      </c>
      <c r="C4" s="52"/>
      <c r="D4" s="53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 x14ac:dyDescent="0.35">
      <c r="A5" s="7">
        <v>2</v>
      </c>
      <c r="B5" s="54" t="s">
        <v>3</v>
      </c>
      <c r="C5" s="55"/>
      <c r="D5" s="56"/>
      <c r="E5" s="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x14ac:dyDescent="0.35">
      <c r="A6" s="7">
        <v>3</v>
      </c>
      <c r="B6" s="54" t="s">
        <v>4</v>
      </c>
      <c r="C6" s="55"/>
      <c r="D6" s="56"/>
      <c r="E6" s="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35">
      <c r="A7" s="7">
        <v>4</v>
      </c>
      <c r="B7" s="54" t="s">
        <v>5</v>
      </c>
      <c r="C7" s="55"/>
      <c r="D7" s="56"/>
      <c r="E7" s="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35">
      <c r="A8" s="7">
        <v>5</v>
      </c>
      <c r="B8" s="54" t="s">
        <v>6</v>
      </c>
      <c r="C8" s="55"/>
      <c r="D8" s="56"/>
      <c r="E8" s="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 x14ac:dyDescent="0.35">
      <c r="A9" s="4">
        <v>6</v>
      </c>
      <c r="B9" s="54" t="s">
        <v>7</v>
      </c>
      <c r="C9" s="55"/>
      <c r="D9" s="56"/>
      <c r="E9" s="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35">
      <c r="A10" s="7">
        <v>7</v>
      </c>
      <c r="B10" s="54" t="s">
        <v>8</v>
      </c>
      <c r="C10" s="55"/>
      <c r="D10" s="56"/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35">
      <c r="A11" s="10"/>
      <c r="B11" s="54" t="s">
        <v>9</v>
      </c>
      <c r="C11" s="55"/>
      <c r="D11" s="56"/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35">
      <c r="A12" s="10"/>
      <c r="B12" s="54" t="s">
        <v>9</v>
      </c>
      <c r="C12" s="55"/>
      <c r="D12" s="56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.25" customHeight="1" x14ac:dyDescent="0.35">
      <c r="A13" s="2"/>
      <c r="B13" s="64" t="s">
        <v>10</v>
      </c>
      <c r="C13" s="55"/>
      <c r="D13" s="56"/>
      <c r="E13" s="11">
        <f>SUM(E4:E12)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3.5" customHeight="1" x14ac:dyDescent="0.35">
      <c r="A14" s="2"/>
      <c r="B14" s="2"/>
      <c r="C14" s="12"/>
      <c r="D14" s="12"/>
      <c r="E14" s="1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 x14ac:dyDescent="0.35">
      <c r="A15" s="2"/>
      <c r="B15" s="13"/>
      <c r="C15" s="3" t="s">
        <v>11</v>
      </c>
      <c r="D15" s="3" t="s">
        <v>12</v>
      </c>
      <c r="E15" s="3" t="s">
        <v>13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0.5" customHeight="1" x14ac:dyDescent="0.35">
      <c r="A16" s="10"/>
      <c r="B16" s="62" t="s">
        <v>14</v>
      </c>
      <c r="C16" s="49"/>
      <c r="D16" s="49"/>
      <c r="E16" s="6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35">
      <c r="A17" s="4">
        <v>1</v>
      </c>
      <c r="B17" s="5" t="s">
        <v>15</v>
      </c>
      <c r="C17" s="14"/>
      <c r="D17" s="15"/>
      <c r="E17" s="15">
        <f t="shared" ref="E17:E22" si="0">C17-D17</f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5">
      <c r="A18" s="7">
        <v>2</v>
      </c>
      <c r="B18" s="8" t="s">
        <v>16</v>
      </c>
      <c r="C18" s="16"/>
      <c r="D18" s="17"/>
      <c r="E18" s="15">
        <f t="shared" si="0"/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35">
      <c r="A19" s="7">
        <v>3</v>
      </c>
      <c r="B19" s="8" t="s">
        <v>17</v>
      </c>
      <c r="C19" s="16"/>
      <c r="D19" s="17"/>
      <c r="E19" s="15">
        <f t="shared" si="0"/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5">
      <c r="A20" s="7">
        <v>4</v>
      </c>
      <c r="B20" s="8" t="s">
        <v>18</v>
      </c>
      <c r="C20" s="16"/>
      <c r="D20" s="17"/>
      <c r="E20" s="15">
        <f t="shared" si="0"/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35">
      <c r="A21" s="7">
        <v>5</v>
      </c>
      <c r="B21" s="8" t="s">
        <v>19</v>
      </c>
      <c r="C21" s="16"/>
      <c r="D21" s="17"/>
      <c r="E21" s="15">
        <f t="shared" si="0"/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5">
      <c r="A22" s="4">
        <v>6</v>
      </c>
      <c r="B22" s="8" t="s">
        <v>20</v>
      </c>
      <c r="C22" s="16"/>
      <c r="D22" s="17"/>
      <c r="E22" s="15">
        <f t="shared" si="0"/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5">
      <c r="A23" s="7">
        <v>7</v>
      </c>
      <c r="B23" s="18" t="s">
        <v>21</v>
      </c>
      <c r="C23" s="19">
        <f>SUM(C17:C22)</f>
        <v>0</v>
      </c>
      <c r="D23" s="19">
        <f t="shared" ref="D23:E23" si="1">SUM(D17:D21)</f>
        <v>0</v>
      </c>
      <c r="E23" s="19">
        <f t="shared" si="1"/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5">
      <c r="A24" s="10"/>
      <c r="B24" s="8"/>
      <c r="C24" s="20"/>
      <c r="D24" s="9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5">
      <c r="A25" s="10"/>
      <c r="B25" s="57" t="s">
        <v>22</v>
      </c>
      <c r="C25" s="55"/>
      <c r="D25" s="55"/>
      <c r="E25" s="5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5">
      <c r="A26" s="4">
        <v>1</v>
      </c>
      <c r="B26" s="8" t="s">
        <v>23</v>
      </c>
      <c r="C26" s="21"/>
      <c r="D26" s="17"/>
      <c r="E26" s="17">
        <f t="shared" ref="E26:E31" si="2">C26-D26</f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5">
      <c r="A27" s="7">
        <v>2</v>
      </c>
      <c r="B27" s="22" t="s">
        <v>24</v>
      </c>
      <c r="C27" s="23"/>
      <c r="D27" s="17"/>
      <c r="E27" s="17">
        <f t="shared" si="2"/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5">
      <c r="A28" s="7">
        <v>3</v>
      </c>
      <c r="B28" s="22" t="s">
        <v>25</v>
      </c>
      <c r="C28" s="23"/>
      <c r="D28" s="17"/>
      <c r="E28" s="17">
        <f t="shared" si="2"/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5">
      <c r="A29" s="7">
        <v>4</v>
      </c>
      <c r="B29" s="22" t="s">
        <v>26</v>
      </c>
      <c r="C29" s="23"/>
      <c r="D29" s="17"/>
      <c r="E29" s="17">
        <f t="shared" si="2"/>
        <v>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5">
      <c r="A30" s="7">
        <v>5</v>
      </c>
      <c r="B30" s="22" t="s">
        <v>27</v>
      </c>
      <c r="C30" s="23"/>
      <c r="D30" s="17"/>
      <c r="E30" s="17">
        <f t="shared" si="2"/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5">
      <c r="A31" s="4">
        <v>6</v>
      </c>
      <c r="B31" s="22" t="s">
        <v>28</v>
      </c>
      <c r="C31" s="23"/>
      <c r="D31" s="17"/>
      <c r="E31" s="17">
        <f t="shared" si="2"/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5">
      <c r="A32" s="7"/>
      <c r="B32" s="24" t="s">
        <v>21</v>
      </c>
      <c r="C32" s="25">
        <f t="shared" ref="C32:E32" si="3">SUM(C26:C31)</f>
        <v>0</v>
      </c>
      <c r="D32" s="25">
        <f t="shared" si="3"/>
        <v>0</v>
      </c>
      <c r="E32" s="25">
        <f t="shared" si="3"/>
        <v>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5">
      <c r="A33" s="10"/>
      <c r="B33" s="5"/>
      <c r="C33" s="9"/>
      <c r="D33" s="9"/>
      <c r="E33" s="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5">
      <c r="A34" s="10"/>
      <c r="B34" s="57" t="s">
        <v>29</v>
      </c>
      <c r="C34" s="55"/>
      <c r="D34" s="55"/>
      <c r="E34" s="5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5">
      <c r="A35" s="4">
        <v>1</v>
      </c>
      <c r="B35" s="26" t="s">
        <v>30</v>
      </c>
      <c r="C35" s="23"/>
      <c r="D35" s="17"/>
      <c r="E35" s="17">
        <f t="shared" ref="E35:E40" si="4">C35-D35</f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5">
      <c r="A36" s="7">
        <v>2</v>
      </c>
      <c r="B36" s="22" t="s">
        <v>31</v>
      </c>
      <c r="C36" s="23"/>
      <c r="D36" s="17"/>
      <c r="E36" s="17">
        <f t="shared" si="4"/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5">
      <c r="A37" s="7">
        <v>3</v>
      </c>
      <c r="B37" s="22" t="s">
        <v>32</v>
      </c>
      <c r="C37" s="23"/>
      <c r="D37" s="17"/>
      <c r="E37" s="17">
        <f t="shared" si="4"/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5">
      <c r="A38" s="7">
        <v>4</v>
      </c>
      <c r="B38" s="22" t="s">
        <v>33</v>
      </c>
      <c r="C38" s="23"/>
      <c r="D38" s="17"/>
      <c r="E38" s="17">
        <f t="shared" si="4"/>
        <v>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5">
      <c r="A39" s="7">
        <v>5</v>
      </c>
      <c r="B39" s="22" t="s">
        <v>34</v>
      </c>
      <c r="C39" s="23"/>
      <c r="D39" s="17"/>
      <c r="E39" s="17">
        <f t="shared" si="4"/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5">
      <c r="A40" s="4">
        <v>6</v>
      </c>
      <c r="B40" s="27" t="s">
        <v>18</v>
      </c>
      <c r="C40" s="23"/>
      <c r="D40" s="17"/>
      <c r="E40" s="17">
        <f t="shared" si="4"/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5">
      <c r="A41" s="10"/>
      <c r="B41" s="24" t="s">
        <v>21</v>
      </c>
      <c r="C41" s="28">
        <f t="shared" ref="C41:E41" si="5">SUM(C35:C40)</f>
        <v>0</v>
      </c>
      <c r="D41" s="28">
        <f t="shared" si="5"/>
        <v>0</v>
      </c>
      <c r="E41" s="28">
        <f t="shared" si="5"/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5">
      <c r="A42" s="10"/>
      <c r="B42" s="29"/>
      <c r="C42" s="30"/>
      <c r="D42" s="30"/>
      <c r="E42" s="3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5">
      <c r="A43" s="10"/>
      <c r="B43" s="59" t="s">
        <v>35</v>
      </c>
      <c r="C43" s="60"/>
      <c r="D43" s="60"/>
      <c r="E43" s="6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5">
      <c r="A44" s="4">
        <v>1</v>
      </c>
      <c r="B44" s="26" t="s">
        <v>36</v>
      </c>
      <c r="C44" s="23"/>
      <c r="D44" s="17"/>
      <c r="E44" s="17">
        <f t="shared" ref="E44:E62" si="6">C44-D44</f>
        <v>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5">
      <c r="A45" s="7">
        <v>2</v>
      </c>
      <c r="B45" s="22" t="s">
        <v>37</v>
      </c>
      <c r="C45" s="23"/>
      <c r="D45" s="17"/>
      <c r="E45" s="17">
        <f t="shared" si="6"/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5">
      <c r="A46" s="7">
        <v>3</v>
      </c>
      <c r="B46" s="22" t="s">
        <v>35</v>
      </c>
      <c r="C46" s="23"/>
      <c r="D46" s="17"/>
      <c r="E46" s="17">
        <f t="shared" si="6"/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5">
      <c r="A47" s="7">
        <v>4</v>
      </c>
      <c r="B47" s="22" t="s">
        <v>38</v>
      </c>
      <c r="C47" s="23"/>
      <c r="D47" s="17"/>
      <c r="E47" s="17">
        <f t="shared" si="6"/>
        <v>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5">
      <c r="A48" s="7">
        <v>5</v>
      </c>
      <c r="B48" s="22" t="s">
        <v>39</v>
      </c>
      <c r="C48" s="23"/>
      <c r="D48" s="17"/>
      <c r="E48" s="17">
        <f t="shared" si="6"/>
        <v>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5">
      <c r="A49" s="4">
        <v>6</v>
      </c>
      <c r="B49" s="22" t="s">
        <v>40</v>
      </c>
      <c r="C49" s="23"/>
      <c r="D49" s="17"/>
      <c r="E49" s="17">
        <f t="shared" si="6"/>
        <v>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5">
      <c r="A50" s="4">
        <v>7</v>
      </c>
      <c r="B50" s="22" t="s">
        <v>41</v>
      </c>
      <c r="C50" s="23"/>
      <c r="D50" s="17"/>
      <c r="E50" s="17">
        <f t="shared" si="6"/>
        <v>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5">
      <c r="A51" s="7">
        <v>8</v>
      </c>
      <c r="B51" s="22" t="s">
        <v>42</v>
      </c>
      <c r="C51" s="23"/>
      <c r="D51" s="17"/>
      <c r="E51" s="17">
        <f t="shared" si="6"/>
        <v>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5">
      <c r="A52" s="7">
        <v>9</v>
      </c>
      <c r="B52" s="22" t="s">
        <v>43</v>
      </c>
      <c r="C52" s="23"/>
      <c r="D52" s="17"/>
      <c r="E52" s="17">
        <f t="shared" si="6"/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5">
      <c r="A53" s="7">
        <v>10</v>
      </c>
      <c r="B53" s="22" t="s">
        <v>44</v>
      </c>
      <c r="C53" s="23"/>
      <c r="D53" s="17"/>
      <c r="E53" s="17">
        <f t="shared" si="6"/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5">
      <c r="A54" s="7">
        <v>11</v>
      </c>
      <c r="B54" s="22" t="s">
        <v>45</v>
      </c>
      <c r="C54" s="23"/>
      <c r="D54" s="17"/>
      <c r="E54" s="17">
        <f t="shared" si="6"/>
        <v>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5">
      <c r="A55" s="4">
        <v>12</v>
      </c>
      <c r="B55" s="22" t="s">
        <v>46</v>
      </c>
      <c r="C55" s="23"/>
      <c r="D55" s="17"/>
      <c r="E55" s="17">
        <f t="shared" si="6"/>
        <v>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5">
      <c r="A56" s="4">
        <v>13</v>
      </c>
      <c r="B56" s="22" t="s">
        <v>47</v>
      </c>
      <c r="C56" s="23"/>
      <c r="D56" s="17"/>
      <c r="E56" s="17">
        <f t="shared" si="6"/>
        <v>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5">
      <c r="A57" s="7">
        <v>14</v>
      </c>
      <c r="B57" s="8" t="s">
        <v>48</v>
      </c>
      <c r="C57" s="23"/>
      <c r="D57" s="17"/>
      <c r="E57" s="17">
        <f t="shared" si="6"/>
        <v>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5">
      <c r="A58" s="7">
        <v>15</v>
      </c>
      <c r="B58" s="8" t="s">
        <v>49</v>
      </c>
      <c r="C58" s="23"/>
      <c r="D58" s="17"/>
      <c r="E58" s="17">
        <f t="shared" si="6"/>
        <v>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5">
      <c r="A59" s="7">
        <v>16</v>
      </c>
      <c r="B59" s="8" t="s">
        <v>50</v>
      </c>
      <c r="C59" s="23"/>
      <c r="D59" s="17"/>
      <c r="E59" s="17">
        <f t="shared" si="6"/>
        <v>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5">
      <c r="A60" s="7">
        <v>17</v>
      </c>
      <c r="B60" s="22" t="s">
        <v>18</v>
      </c>
      <c r="C60" s="23"/>
      <c r="D60" s="17"/>
      <c r="E60" s="17">
        <f t="shared" si="6"/>
        <v>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5">
      <c r="A61" s="4">
        <v>18</v>
      </c>
      <c r="B61" s="22" t="s">
        <v>18</v>
      </c>
      <c r="C61" s="23"/>
      <c r="D61" s="17"/>
      <c r="E61" s="17">
        <f t="shared" si="6"/>
        <v>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5">
      <c r="A62" s="7">
        <v>19</v>
      </c>
      <c r="B62" s="22" t="s">
        <v>18</v>
      </c>
      <c r="C62" s="23"/>
      <c r="D62" s="17"/>
      <c r="E62" s="17">
        <f t="shared" si="6"/>
        <v>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5">
      <c r="A63" s="10"/>
      <c r="B63" s="31" t="s">
        <v>21</v>
      </c>
      <c r="C63" s="32">
        <f t="shared" ref="C63:E63" si="7">SUM(C44:C62)</f>
        <v>0</v>
      </c>
      <c r="D63" s="32">
        <f t="shared" si="7"/>
        <v>0</v>
      </c>
      <c r="E63" s="32">
        <f t="shared" si="7"/>
        <v>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5">
      <c r="A64" s="10"/>
      <c r="B64" s="33"/>
      <c r="C64" s="34"/>
      <c r="D64" s="34"/>
      <c r="E64" s="3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5">
      <c r="A65" s="10"/>
      <c r="B65" s="62" t="s">
        <v>51</v>
      </c>
      <c r="C65" s="49"/>
      <c r="D65" s="49"/>
      <c r="E65" s="6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5">
      <c r="A66" s="7">
        <v>1</v>
      </c>
      <c r="B66" s="26" t="s">
        <v>52</v>
      </c>
      <c r="C66" s="23"/>
      <c r="D66" s="17"/>
      <c r="E66" s="17">
        <f t="shared" ref="E66:E69" si="8">C66-D66</f>
        <v>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5">
      <c r="A67" s="7">
        <v>2</v>
      </c>
      <c r="B67" s="22" t="s">
        <v>53</v>
      </c>
      <c r="C67" s="23"/>
      <c r="D67" s="17"/>
      <c r="E67" s="17">
        <f t="shared" si="8"/>
        <v>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5">
      <c r="A68" s="7">
        <v>3</v>
      </c>
      <c r="B68" s="22" t="s">
        <v>54</v>
      </c>
      <c r="C68" s="23"/>
      <c r="D68" s="17"/>
      <c r="E68" s="17">
        <f t="shared" si="8"/>
        <v>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5">
      <c r="A69" s="7">
        <v>4</v>
      </c>
      <c r="B69" s="22" t="s">
        <v>55</v>
      </c>
      <c r="C69" s="23"/>
      <c r="D69" s="17"/>
      <c r="E69" s="17">
        <f t="shared" si="8"/>
        <v>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5">
      <c r="A70" s="10"/>
      <c r="B70" s="33" t="s">
        <v>21</v>
      </c>
      <c r="C70" s="32">
        <f t="shared" ref="C70:E70" si="9">SUM(C66:C69)</f>
        <v>0</v>
      </c>
      <c r="D70" s="32">
        <f t="shared" si="9"/>
        <v>0</v>
      </c>
      <c r="E70" s="32">
        <f t="shared" si="9"/>
        <v>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5">
      <c r="A71" s="10"/>
      <c r="B71" s="33"/>
      <c r="C71" s="34"/>
      <c r="D71" s="34"/>
      <c r="E71" s="3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5">
      <c r="A72" s="10"/>
      <c r="B72" s="62" t="s">
        <v>56</v>
      </c>
      <c r="C72" s="49"/>
      <c r="D72" s="49"/>
      <c r="E72" s="6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5">
      <c r="A73" s="7">
        <v>1</v>
      </c>
      <c r="B73" s="26" t="s">
        <v>57</v>
      </c>
      <c r="C73" s="23"/>
      <c r="D73" s="17"/>
      <c r="E73" s="17">
        <f t="shared" ref="E73:E77" si="10">C73-D73</f>
        <v>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5">
      <c r="A74" s="7">
        <v>2</v>
      </c>
      <c r="B74" s="22" t="s">
        <v>58</v>
      </c>
      <c r="C74" s="23"/>
      <c r="D74" s="17"/>
      <c r="E74" s="17">
        <f t="shared" si="10"/>
        <v>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5">
      <c r="A75" s="7">
        <v>3</v>
      </c>
      <c r="B75" s="22" t="s">
        <v>59</v>
      </c>
      <c r="C75" s="23"/>
      <c r="D75" s="17"/>
      <c r="E75" s="17">
        <f t="shared" si="10"/>
        <v>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5">
      <c r="A76" s="7">
        <v>4</v>
      </c>
      <c r="B76" s="22" t="s">
        <v>18</v>
      </c>
      <c r="C76" s="23"/>
      <c r="D76" s="17"/>
      <c r="E76" s="17">
        <f t="shared" si="10"/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5">
      <c r="A77" s="7">
        <v>5</v>
      </c>
      <c r="B77" s="22" t="s">
        <v>18</v>
      </c>
      <c r="C77" s="23"/>
      <c r="D77" s="17"/>
      <c r="E77" s="17">
        <f t="shared" si="10"/>
        <v>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5">
      <c r="A78" s="10"/>
      <c r="B78" s="22" t="s">
        <v>21</v>
      </c>
      <c r="C78" s="23">
        <f t="shared" ref="C78:E78" si="11">SUM(C73:C77)</f>
        <v>0</v>
      </c>
      <c r="D78" s="23">
        <f t="shared" si="11"/>
        <v>0</v>
      </c>
      <c r="E78" s="23">
        <f t="shared" si="11"/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5">
      <c r="A79" s="10"/>
      <c r="B79" s="22"/>
      <c r="C79" s="23"/>
      <c r="D79" s="17"/>
      <c r="E79" s="1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customHeight="1" x14ac:dyDescent="0.35">
      <c r="A80" s="10"/>
      <c r="B80" s="36" t="s">
        <v>60</v>
      </c>
      <c r="C80" s="25">
        <f t="shared" ref="C80:E80" si="12">C23+C32+C41+C63+C70+C78</f>
        <v>0</v>
      </c>
      <c r="D80" s="25">
        <f t="shared" si="12"/>
        <v>0</v>
      </c>
      <c r="E80" s="25">
        <f t="shared" si="12"/>
        <v>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25" customHeight="1" x14ac:dyDescent="0.35">
      <c r="A81" s="1"/>
      <c r="B81" s="1"/>
      <c r="C81" s="37"/>
      <c r="D81" s="37"/>
      <c r="E81" s="3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25" customHeight="1" x14ac:dyDescent="0.35">
      <c r="A82" s="1"/>
      <c r="B82" s="38" t="s">
        <v>61</v>
      </c>
      <c r="C82" s="37"/>
      <c r="D82" s="39">
        <f>E13-D80</f>
        <v>0</v>
      </c>
      <c r="E82" s="3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25" customHeight="1" x14ac:dyDescent="0.35">
      <c r="A83" s="1"/>
      <c r="B83" s="1"/>
      <c r="C83" s="37"/>
      <c r="D83" s="37"/>
      <c r="E83" s="3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25" customHeight="1" x14ac:dyDescent="0.35">
      <c r="A84" s="1"/>
      <c r="B84" s="1"/>
      <c r="C84" s="37"/>
      <c r="D84" s="37"/>
      <c r="E84" s="3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40"/>
      <c r="B85" s="40"/>
      <c r="C85" s="41"/>
      <c r="D85" s="41"/>
      <c r="E85" s="4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42"/>
      <c r="B86" s="43"/>
      <c r="C86" s="44"/>
      <c r="D86" s="66" t="s">
        <v>62</v>
      </c>
      <c r="E86" s="4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42"/>
      <c r="B87" s="42"/>
      <c r="C87" s="44"/>
      <c r="D87" s="44"/>
      <c r="E87" s="4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42"/>
      <c r="B88" s="42"/>
      <c r="C88" s="44"/>
      <c r="D88" s="44"/>
      <c r="E88" s="4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42"/>
      <c r="B89" s="42"/>
      <c r="C89" s="44"/>
      <c r="D89" s="44"/>
      <c r="E89" s="4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25" customHeight="1" x14ac:dyDescent="0.35">
      <c r="A90" s="1"/>
      <c r="B90" s="1"/>
      <c r="C90" s="37"/>
      <c r="D90" s="37"/>
      <c r="E90" s="3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25" customHeight="1" x14ac:dyDescent="0.35">
      <c r="A91" s="1"/>
      <c r="B91" s="1"/>
      <c r="C91" s="37"/>
      <c r="D91" s="37"/>
      <c r="E91" s="3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25" customHeight="1" x14ac:dyDescent="0.35">
      <c r="A92" s="1"/>
      <c r="B92" s="1"/>
      <c r="C92" s="37"/>
      <c r="D92" s="37"/>
      <c r="E92" s="3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25" customHeight="1" x14ac:dyDescent="0.35">
      <c r="A93" s="1"/>
      <c r="B93" s="1"/>
      <c r="C93" s="37"/>
      <c r="D93" s="37"/>
      <c r="E93" s="3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25" customHeight="1" x14ac:dyDescent="0.35">
      <c r="A94" s="1"/>
      <c r="B94" s="1"/>
      <c r="C94" s="37"/>
      <c r="D94" s="37"/>
      <c r="E94" s="3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25" customHeight="1" x14ac:dyDescent="0.35">
      <c r="A95" s="1"/>
      <c r="B95" s="1"/>
      <c r="C95" s="37"/>
      <c r="D95" s="37"/>
      <c r="E95" s="3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25" customHeight="1" x14ac:dyDescent="0.35">
      <c r="A96" s="1"/>
      <c r="B96" s="1"/>
      <c r="C96" s="37"/>
      <c r="D96" s="37"/>
      <c r="E96" s="3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25" customHeight="1" x14ac:dyDescent="0.35">
      <c r="A97" s="1"/>
      <c r="B97" s="1"/>
      <c r="C97" s="37"/>
      <c r="D97" s="37"/>
      <c r="E97" s="3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25" customHeight="1" x14ac:dyDescent="0.35">
      <c r="A98" s="1"/>
      <c r="B98" s="1"/>
      <c r="C98" s="37"/>
      <c r="D98" s="37"/>
      <c r="E98" s="3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25" customHeight="1" x14ac:dyDescent="0.35">
      <c r="A99" s="1"/>
      <c r="B99" s="1"/>
      <c r="C99" s="37"/>
      <c r="D99" s="37"/>
      <c r="E99" s="3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25" customHeight="1" x14ac:dyDescent="0.35">
      <c r="A100" s="1"/>
      <c r="B100" s="1"/>
      <c r="C100" s="37"/>
      <c r="D100" s="37"/>
      <c r="E100" s="3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25" customHeight="1" x14ac:dyDescent="0.35">
      <c r="A101" s="1"/>
      <c r="B101" s="1"/>
      <c r="C101" s="37"/>
      <c r="D101" s="37"/>
      <c r="E101" s="3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25" customHeight="1" x14ac:dyDescent="0.35">
      <c r="A102" s="1"/>
      <c r="B102" s="1"/>
      <c r="C102" s="37"/>
      <c r="D102" s="37"/>
      <c r="E102" s="3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25" customHeight="1" x14ac:dyDescent="0.35">
      <c r="A103" s="1"/>
      <c r="B103" s="1"/>
      <c r="C103" s="37"/>
      <c r="D103" s="37"/>
      <c r="E103" s="3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25" customHeight="1" x14ac:dyDescent="0.35">
      <c r="A104" s="1"/>
      <c r="B104" s="1"/>
      <c r="C104" s="37"/>
      <c r="D104" s="37"/>
      <c r="E104" s="3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25" customHeight="1" x14ac:dyDescent="0.35">
      <c r="A105" s="1"/>
      <c r="B105" s="1"/>
      <c r="C105" s="37"/>
      <c r="D105" s="37"/>
      <c r="E105" s="3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25" customHeight="1" x14ac:dyDescent="0.35">
      <c r="A106" s="1"/>
      <c r="B106" s="1"/>
      <c r="C106" s="37"/>
      <c r="D106" s="37"/>
      <c r="E106" s="3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25" customHeight="1" x14ac:dyDescent="0.35">
      <c r="A107" s="1"/>
      <c r="B107" s="1"/>
      <c r="C107" s="37"/>
      <c r="D107" s="37"/>
      <c r="E107" s="3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25" customHeight="1" x14ac:dyDescent="0.35">
      <c r="A108" s="1"/>
      <c r="B108" s="1"/>
      <c r="C108" s="37"/>
      <c r="D108" s="37"/>
      <c r="E108" s="3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25" customHeight="1" x14ac:dyDescent="0.35">
      <c r="A109" s="1"/>
      <c r="B109" s="1"/>
      <c r="C109" s="37"/>
      <c r="D109" s="37"/>
      <c r="E109" s="3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25" customHeight="1" x14ac:dyDescent="0.35">
      <c r="A110" s="1"/>
      <c r="B110" s="1"/>
      <c r="C110" s="37"/>
      <c r="D110" s="37"/>
      <c r="E110" s="3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25" customHeight="1" x14ac:dyDescent="0.35">
      <c r="A111" s="1"/>
      <c r="B111" s="1"/>
      <c r="C111" s="37"/>
      <c r="D111" s="37"/>
      <c r="E111" s="3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25" customHeight="1" x14ac:dyDescent="0.35">
      <c r="A112" s="1"/>
      <c r="B112" s="1"/>
      <c r="C112" s="37"/>
      <c r="D112" s="37"/>
      <c r="E112" s="3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25" customHeight="1" x14ac:dyDescent="0.35">
      <c r="A113" s="1"/>
      <c r="B113" s="1"/>
      <c r="C113" s="37"/>
      <c r="D113" s="37"/>
      <c r="E113" s="3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25" customHeight="1" x14ac:dyDescent="0.35">
      <c r="A114" s="1"/>
      <c r="B114" s="1"/>
      <c r="C114" s="37"/>
      <c r="D114" s="37"/>
      <c r="E114" s="3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25" customHeight="1" x14ac:dyDescent="0.35">
      <c r="A115" s="1"/>
      <c r="B115" s="1"/>
      <c r="C115" s="37"/>
      <c r="D115" s="37"/>
      <c r="E115" s="3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25" customHeight="1" x14ac:dyDescent="0.35">
      <c r="A116" s="1"/>
      <c r="B116" s="1"/>
      <c r="C116" s="37"/>
      <c r="D116" s="37"/>
      <c r="E116" s="3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25" customHeight="1" x14ac:dyDescent="0.35">
      <c r="A117" s="1"/>
      <c r="B117" s="1"/>
      <c r="C117" s="37"/>
      <c r="D117" s="37"/>
      <c r="E117" s="3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25" customHeight="1" x14ac:dyDescent="0.35">
      <c r="A118" s="1"/>
      <c r="B118" s="1"/>
      <c r="C118" s="37"/>
      <c r="D118" s="37"/>
      <c r="E118" s="3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25" customHeight="1" x14ac:dyDescent="0.35">
      <c r="A119" s="1"/>
      <c r="B119" s="1"/>
      <c r="C119" s="37"/>
      <c r="D119" s="37"/>
      <c r="E119" s="3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25" customHeight="1" x14ac:dyDescent="0.35">
      <c r="A120" s="1"/>
      <c r="B120" s="1"/>
      <c r="C120" s="37"/>
      <c r="D120" s="37"/>
      <c r="E120" s="3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25" customHeight="1" x14ac:dyDescent="0.35">
      <c r="A121" s="1"/>
      <c r="B121" s="1"/>
      <c r="C121" s="37"/>
      <c r="D121" s="37"/>
      <c r="E121" s="3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25" customHeight="1" x14ac:dyDescent="0.35">
      <c r="A122" s="1"/>
      <c r="B122" s="1"/>
      <c r="C122" s="37"/>
      <c r="D122" s="37"/>
      <c r="E122" s="3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25" customHeight="1" x14ac:dyDescent="0.35">
      <c r="A123" s="1"/>
      <c r="B123" s="1"/>
      <c r="C123" s="37"/>
      <c r="D123" s="37"/>
      <c r="E123" s="3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25" customHeight="1" x14ac:dyDescent="0.35">
      <c r="A124" s="1"/>
      <c r="B124" s="1"/>
      <c r="C124" s="37"/>
      <c r="D124" s="37"/>
      <c r="E124" s="3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25" customHeight="1" x14ac:dyDescent="0.35">
      <c r="A125" s="1"/>
      <c r="B125" s="1"/>
      <c r="C125" s="37"/>
      <c r="D125" s="37"/>
      <c r="E125" s="3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25" customHeight="1" x14ac:dyDescent="0.35">
      <c r="A126" s="1"/>
      <c r="B126" s="1"/>
      <c r="C126" s="37"/>
      <c r="D126" s="37"/>
      <c r="E126" s="3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25" customHeight="1" x14ac:dyDescent="0.35">
      <c r="A127" s="1"/>
      <c r="B127" s="1"/>
      <c r="C127" s="37"/>
      <c r="D127" s="37"/>
      <c r="E127" s="3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25" customHeight="1" x14ac:dyDescent="0.35">
      <c r="A128" s="1"/>
      <c r="B128" s="1"/>
      <c r="C128" s="37"/>
      <c r="D128" s="37"/>
      <c r="E128" s="3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25" customHeight="1" x14ac:dyDescent="0.35">
      <c r="A129" s="1"/>
      <c r="B129" s="1"/>
      <c r="C129" s="37"/>
      <c r="D129" s="37"/>
      <c r="E129" s="3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25" customHeight="1" x14ac:dyDescent="0.35">
      <c r="A130" s="1"/>
      <c r="B130" s="1"/>
      <c r="C130" s="37"/>
      <c r="D130" s="37"/>
      <c r="E130" s="3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25" customHeight="1" x14ac:dyDescent="0.35">
      <c r="A131" s="1"/>
      <c r="B131" s="1"/>
      <c r="C131" s="37"/>
      <c r="D131" s="37"/>
      <c r="E131" s="3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25" customHeight="1" x14ac:dyDescent="0.35">
      <c r="A132" s="1"/>
      <c r="B132" s="1"/>
      <c r="C132" s="37"/>
      <c r="D132" s="37"/>
      <c r="E132" s="3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25" customHeight="1" x14ac:dyDescent="0.35">
      <c r="A133" s="1"/>
      <c r="B133" s="1"/>
      <c r="C133" s="37"/>
      <c r="D133" s="37"/>
      <c r="E133" s="3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25" customHeight="1" x14ac:dyDescent="0.35">
      <c r="A134" s="1"/>
      <c r="B134" s="1"/>
      <c r="C134" s="37"/>
      <c r="D134" s="37"/>
      <c r="E134" s="3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25" customHeight="1" x14ac:dyDescent="0.35">
      <c r="A135" s="1"/>
      <c r="B135" s="1"/>
      <c r="C135" s="37"/>
      <c r="D135" s="37"/>
      <c r="E135" s="3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25" customHeight="1" x14ac:dyDescent="0.35">
      <c r="A136" s="1"/>
      <c r="B136" s="1"/>
      <c r="C136" s="37"/>
      <c r="D136" s="37"/>
      <c r="E136" s="3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25" customHeight="1" x14ac:dyDescent="0.35">
      <c r="A137" s="1"/>
      <c r="B137" s="1"/>
      <c r="C137" s="37"/>
      <c r="D137" s="37"/>
      <c r="E137" s="3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25" customHeight="1" x14ac:dyDescent="0.35">
      <c r="A138" s="1"/>
      <c r="B138" s="1"/>
      <c r="C138" s="37"/>
      <c r="D138" s="37"/>
      <c r="E138" s="3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25" customHeight="1" x14ac:dyDescent="0.35">
      <c r="A139" s="1"/>
      <c r="B139" s="1"/>
      <c r="C139" s="37"/>
      <c r="D139" s="37"/>
      <c r="E139" s="3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25" customHeight="1" x14ac:dyDescent="0.35">
      <c r="A140" s="1"/>
      <c r="B140" s="1"/>
      <c r="C140" s="37"/>
      <c r="D140" s="37"/>
      <c r="E140" s="3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25" customHeight="1" x14ac:dyDescent="0.35">
      <c r="A141" s="1"/>
      <c r="B141" s="1"/>
      <c r="C141" s="37"/>
      <c r="D141" s="37"/>
      <c r="E141" s="3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25" customHeight="1" x14ac:dyDescent="0.35">
      <c r="A142" s="1"/>
      <c r="B142" s="1"/>
      <c r="C142" s="37"/>
      <c r="D142" s="37"/>
      <c r="E142" s="3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25" customHeight="1" x14ac:dyDescent="0.35">
      <c r="A143" s="1"/>
      <c r="B143" s="1"/>
      <c r="C143" s="37"/>
      <c r="D143" s="37"/>
      <c r="E143" s="3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25" customHeight="1" x14ac:dyDescent="0.35">
      <c r="A144" s="1"/>
      <c r="B144" s="1"/>
      <c r="C144" s="37"/>
      <c r="D144" s="37"/>
      <c r="E144" s="3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25" customHeight="1" x14ac:dyDescent="0.35">
      <c r="A145" s="1"/>
      <c r="B145" s="1"/>
      <c r="C145" s="37"/>
      <c r="D145" s="37"/>
      <c r="E145" s="3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25" customHeight="1" x14ac:dyDescent="0.35">
      <c r="A146" s="1"/>
      <c r="B146" s="1"/>
      <c r="C146" s="37"/>
      <c r="D146" s="37"/>
      <c r="E146" s="3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25" customHeight="1" x14ac:dyDescent="0.35">
      <c r="A147" s="1"/>
      <c r="B147" s="1"/>
      <c r="C147" s="37"/>
      <c r="D147" s="37"/>
      <c r="E147" s="3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25" customHeight="1" x14ac:dyDescent="0.35">
      <c r="A148" s="1"/>
      <c r="B148" s="1"/>
      <c r="C148" s="37"/>
      <c r="D148" s="37"/>
      <c r="E148" s="3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25" customHeight="1" x14ac:dyDescent="0.35">
      <c r="A149" s="1"/>
      <c r="B149" s="1"/>
      <c r="C149" s="37"/>
      <c r="D149" s="37"/>
      <c r="E149" s="3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25" customHeight="1" x14ac:dyDescent="0.35">
      <c r="A150" s="1"/>
      <c r="B150" s="1"/>
      <c r="C150" s="37"/>
      <c r="D150" s="37"/>
      <c r="E150" s="3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25" customHeight="1" x14ac:dyDescent="0.35">
      <c r="A151" s="1"/>
      <c r="B151" s="1"/>
      <c r="C151" s="37"/>
      <c r="D151" s="37"/>
      <c r="E151" s="3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25" customHeight="1" x14ac:dyDescent="0.35">
      <c r="A152" s="1"/>
      <c r="B152" s="1"/>
      <c r="C152" s="37"/>
      <c r="D152" s="37"/>
      <c r="E152" s="3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25" customHeight="1" x14ac:dyDescent="0.35">
      <c r="A153" s="1"/>
      <c r="B153" s="1"/>
      <c r="C153" s="37"/>
      <c r="D153" s="37"/>
      <c r="E153" s="3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25" customHeight="1" x14ac:dyDescent="0.35">
      <c r="A154" s="1"/>
      <c r="B154" s="1"/>
      <c r="C154" s="37"/>
      <c r="D154" s="37"/>
      <c r="E154" s="3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25" customHeight="1" x14ac:dyDescent="0.35">
      <c r="A155" s="1"/>
      <c r="B155" s="1"/>
      <c r="C155" s="37"/>
      <c r="D155" s="37"/>
      <c r="E155" s="3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25" customHeight="1" x14ac:dyDescent="0.35">
      <c r="A156" s="1"/>
      <c r="B156" s="1"/>
      <c r="C156" s="37"/>
      <c r="D156" s="37"/>
      <c r="E156" s="3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25" customHeight="1" x14ac:dyDescent="0.35">
      <c r="A157" s="1"/>
      <c r="B157" s="1"/>
      <c r="C157" s="37"/>
      <c r="D157" s="37"/>
      <c r="E157" s="3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25" customHeight="1" x14ac:dyDescent="0.35">
      <c r="A158" s="1"/>
      <c r="B158" s="1"/>
      <c r="C158" s="37"/>
      <c r="D158" s="37"/>
      <c r="E158" s="3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25" customHeight="1" x14ac:dyDescent="0.35">
      <c r="A159" s="1"/>
      <c r="B159" s="1"/>
      <c r="C159" s="37"/>
      <c r="D159" s="37"/>
      <c r="E159" s="3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25" customHeight="1" x14ac:dyDescent="0.35">
      <c r="A160" s="1"/>
      <c r="B160" s="1"/>
      <c r="C160" s="37"/>
      <c r="D160" s="37"/>
      <c r="E160" s="3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25" customHeight="1" x14ac:dyDescent="0.35">
      <c r="A161" s="1"/>
      <c r="B161" s="1"/>
      <c r="C161" s="37"/>
      <c r="D161" s="37"/>
      <c r="E161" s="3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25" customHeight="1" x14ac:dyDescent="0.35">
      <c r="A162" s="1"/>
      <c r="B162" s="1"/>
      <c r="C162" s="37"/>
      <c r="D162" s="37"/>
      <c r="E162" s="3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25" customHeight="1" x14ac:dyDescent="0.35">
      <c r="A163" s="1"/>
      <c r="B163" s="1"/>
      <c r="C163" s="37"/>
      <c r="D163" s="37"/>
      <c r="E163" s="3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25" customHeight="1" x14ac:dyDescent="0.35">
      <c r="A164" s="1"/>
      <c r="B164" s="1"/>
      <c r="C164" s="37"/>
      <c r="D164" s="37"/>
      <c r="E164" s="3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25" customHeight="1" x14ac:dyDescent="0.35">
      <c r="A165" s="1"/>
      <c r="B165" s="1"/>
      <c r="C165" s="37"/>
      <c r="D165" s="37"/>
      <c r="E165" s="3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25" customHeight="1" x14ac:dyDescent="0.35">
      <c r="A166" s="1"/>
      <c r="B166" s="1"/>
      <c r="C166" s="37"/>
      <c r="D166" s="37"/>
      <c r="E166" s="3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25" customHeight="1" x14ac:dyDescent="0.35">
      <c r="A167" s="1"/>
      <c r="B167" s="1"/>
      <c r="C167" s="37"/>
      <c r="D167" s="37"/>
      <c r="E167" s="3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25" customHeight="1" x14ac:dyDescent="0.35">
      <c r="A168" s="1"/>
      <c r="B168" s="1"/>
      <c r="C168" s="37"/>
      <c r="D168" s="37"/>
      <c r="E168" s="3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25" customHeight="1" x14ac:dyDescent="0.35">
      <c r="A169" s="1"/>
      <c r="B169" s="1"/>
      <c r="C169" s="37"/>
      <c r="D169" s="37"/>
      <c r="E169" s="3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25" customHeight="1" x14ac:dyDescent="0.35">
      <c r="A170" s="1"/>
      <c r="B170" s="1"/>
      <c r="C170" s="37"/>
      <c r="D170" s="37"/>
      <c r="E170" s="3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25" customHeight="1" x14ac:dyDescent="0.35">
      <c r="A171" s="1"/>
      <c r="B171" s="1"/>
      <c r="C171" s="37"/>
      <c r="D171" s="37"/>
      <c r="E171" s="3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25" customHeight="1" x14ac:dyDescent="0.35">
      <c r="A172" s="1"/>
      <c r="B172" s="1"/>
      <c r="C172" s="37"/>
      <c r="D172" s="37"/>
      <c r="E172" s="3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25" customHeight="1" x14ac:dyDescent="0.35">
      <c r="A173" s="1"/>
      <c r="B173" s="1"/>
      <c r="C173" s="37"/>
      <c r="D173" s="37"/>
      <c r="E173" s="3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25" customHeight="1" x14ac:dyDescent="0.35">
      <c r="A174" s="1"/>
      <c r="B174" s="1"/>
      <c r="C174" s="37"/>
      <c r="D174" s="37"/>
      <c r="E174" s="3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25" customHeight="1" x14ac:dyDescent="0.35">
      <c r="A175" s="1"/>
      <c r="B175" s="1"/>
      <c r="C175" s="37"/>
      <c r="D175" s="37"/>
      <c r="E175" s="3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25" customHeight="1" x14ac:dyDescent="0.35">
      <c r="A176" s="1"/>
      <c r="B176" s="1"/>
      <c r="C176" s="37"/>
      <c r="D176" s="37"/>
      <c r="E176" s="3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25" customHeight="1" x14ac:dyDescent="0.35">
      <c r="A177" s="1"/>
      <c r="B177" s="1"/>
      <c r="C177" s="37"/>
      <c r="D177" s="37"/>
      <c r="E177" s="3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25" customHeight="1" x14ac:dyDescent="0.35">
      <c r="A178" s="1"/>
      <c r="B178" s="1"/>
      <c r="C178" s="37"/>
      <c r="D178" s="37"/>
      <c r="E178" s="3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25" customHeight="1" x14ac:dyDescent="0.35">
      <c r="A179" s="1"/>
      <c r="B179" s="1"/>
      <c r="C179" s="37"/>
      <c r="D179" s="37"/>
      <c r="E179" s="3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25" customHeight="1" x14ac:dyDescent="0.35">
      <c r="A180" s="1"/>
      <c r="B180" s="1"/>
      <c r="C180" s="37"/>
      <c r="D180" s="37"/>
      <c r="E180" s="3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25" customHeight="1" x14ac:dyDescent="0.35">
      <c r="A181" s="1"/>
      <c r="B181" s="1"/>
      <c r="C181" s="37"/>
      <c r="D181" s="37"/>
      <c r="E181" s="3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25" customHeight="1" x14ac:dyDescent="0.35">
      <c r="A182" s="1"/>
      <c r="B182" s="1"/>
      <c r="C182" s="37"/>
      <c r="D182" s="37"/>
      <c r="E182" s="3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25" customHeight="1" x14ac:dyDescent="0.35">
      <c r="A183" s="1"/>
      <c r="B183" s="1"/>
      <c r="C183" s="37"/>
      <c r="D183" s="37"/>
      <c r="E183" s="3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25" customHeight="1" x14ac:dyDescent="0.35">
      <c r="A184" s="1"/>
      <c r="B184" s="1"/>
      <c r="C184" s="37"/>
      <c r="D184" s="37"/>
      <c r="E184" s="3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25" customHeight="1" x14ac:dyDescent="0.35">
      <c r="A185" s="1"/>
      <c r="B185" s="1"/>
      <c r="C185" s="37"/>
      <c r="D185" s="37"/>
      <c r="E185" s="3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25" customHeight="1" x14ac:dyDescent="0.35">
      <c r="A186" s="1"/>
      <c r="B186" s="1"/>
      <c r="C186" s="37"/>
      <c r="D186" s="37"/>
      <c r="E186" s="3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25" customHeight="1" x14ac:dyDescent="0.35">
      <c r="A187" s="1"/>
      <c r="B187" s="1"/>
      <c r="C187" s="37"/>
      <c r="D187" s="37"/>
      <c r="E187" s="3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25" customHeight="1" x14ac:dyDescent="0.35">
      <c r="A188" s="1"/>
      <c r="B188" s="1"/>
      <c r="C188" s="37"/>
      <c r="D188" s="37"/>
      <c r="E188" s="3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25" customHeight="1" x14ac:dyDescent="0.35">
      <c r="A189" s="1"/>
      <c r="B189" s="1"/>
      <c r="C189" s="37"/>
      <c r="D189" s="37"/>
      <c r="E189" s="3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25" customHeight="1" x14ac:dyDescent="0.35">
      <c r="A190" s="1"/>
      <c r="B190" s="1"/>
      <c r="C190" s="37"/>
      <c r="D190" s="37"/>
      <c r="E190" s="3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25" customHeight="1" x14ac:dyDescent="0.35">
      <c r="A191" s="1"/>
      <c r="B191" s="1"/>
      <c r="C191" s="37"/>
      <c r="D191" s="37"/>
      <c r="E191" s="3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25" customHeight="1" x14ac:dyDescent="0.35">
      <c r="A192" s="1"/>
      <c r="B192" s="1"/>
      <c r="C192" s="37"/>
      <c r="D192" s="37"/>
      <c r="E192" s="3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25" customHeight="1" x14ac:dyDescent="0.35">
      <c r="A193" s="1"/>
      <c r="B193" s="1"/>
      <c r="C193" s="37"/>
      <c r="D193" s="37"/>
      <c r="E193" s="3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25" customHeight="1" x14ac:dyDescent="0.35">
      <c r="A194" s="1"/>
      <c r="B194" s="1"/>
      <c r="C194" s="37"/>
      <c r="D194" s="37"/>
      <c r="E194" s="3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25" customHeight="1" x14ac:dyDescent="0.35">
      <c r="A195" s="1"/>
      <c r="B195" s="1"/>
      <c r="C195" s="37"/>
      <c r="D195" s="37"/>
      <c r="E195" s="3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25" customHeight="1" x14ac:dyDescent="0.35">
      <c r="A196" s="1"/>
      <c r="B196" s="1"/>
      <c r="C196" s="37"/>
      <c r="D196" s="37"/>
      <c r="E196" s="3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25" customHeight="1" x14ac:dyDescent="0.35">
      <c r="A197" s="1"/>
      <c r="B197" s="1"/>
      <c r="C197" s="37"/>
      <c r="D197" s="37"/>
      <c r="E197" s="3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25" customHeight="1" x14ac:dyDescent="0.35">
      <c r="A198" s="1"/>
      <c r="B198" s="1"/>
      <c r="C198" s="37"/>
      <c r="D198" s="37"/>
      <c r="E198" s="3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25" customHeight="1" x14ac:dyDescent="0.35">
      <c r="A199" s="1"/>
      <c r="B199" s="1"/>
      <c r="C199" s="37"/>
      <c r="D199" s="37"/>
      <c r="E199" s="3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25" customHeight="1" x14ac:dyDescent="0.35">
      <c r="A200" s="1"/>
      <c r="B200" s="1"/>
      <c r="C200" s="37"/>
      <c r="D200" s="37"/>
      <c r="E200" s="3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0.25" customHeight="1" x14ac:dyDescent="0.35">
      <c r="A201" s="1"/>
      <c r="B201" s="1"/>
      <c r="C201" s="37"/>
      <c r="D201" s="37"/>
      <c r="E201" s="3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0.25" customHeight="1" x14ac:dyDescent="0.35">
      <c r="A202" s="1"/>
      <c r="B202" s="1"/>
      <c r="C202" s="37"/>
      <c r="D202" s="37"/>
      <c r="E202" s="3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0.25" customHeight="1" x14ac:dyDescent="0.35">
      <c r="A203" s="1"/>
      <c r="B203" s="1"/>
      <c r="C203" s="37"/>
      <c r="D203" s="37"/>
      <c r="E203" s="3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0.25" customHeight="1" x14ac:dyDescent="0.35">
      <c r="A204" s="1"/>
      <c r="B204" s="1"/>
      <c r="C204" s="37"/>
      <c r="D204" s="37"/>
      <c r="E204" s="3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0.25" customHeight="1" x14ac:dyDescent="0.35">
      <c r="A205" s="1"/>
      <c r="B205" s="1"/>
      <c r="C205" s="37"/>
      <c r="D205" s="37"/>
      <c r="E205" s="3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0.25" customHeight="1" x14ac:dyDescent="0.35">
      <c r="A206" s="1"/>
      <c r="B206" s="1"/>
      <c r="C206" s="37"/>
      <c r="D206" s="37"/>
      <c r="E206" s="3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0.25" customHeight="1" x14ac:dyDescent="0.35">
      <c r="A207" s="1"/>
      <c r="B207" s="1"/>
      <c r="C207" s="37"/>
      <c r="D207" s="37"/>
      <c r="E207" s="3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0.25" customHeight="1" x14ac:dyDescent="0.35">
      <c r="A208" s="1"/>
      <c r="B208" s="1"/>
      <c r="C208" s="37"/>
      <c r="D208" s="37"/>
      <c r="E208" s="3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0.25" customHeight="1" x14ac:dyDescent="0.35">
      <c r="A209" s="1"/>
      <c r="B209" s="1"/>
      <c r="C209" s="37"/>
      <c r="D209" s="37"/>
      <c r="E209" s="3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0.25" customHeight="1" x14ac:dyDescent="0.35">
      <c r="A210" s="1"/>
      <c r="B210" s="1"/>
      <c r="C210" s="37"/>
      <c r="D210" s="37"/>
      <c r="E210" s="3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0.25" customHeight="1" x14ac:dyDescent="0.35">
      <c r="A211" s="1"/>
      <c r="B211" s="1"/>
      <c r="C211" s="37"/>
      <c r="D211" s="37"/>
      <c r="E211" s="3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0.25" customHeight="1" x14ac:dyDescent="0.35">
      <c r="A212" s="1"/>
      <c r="B212" s="1"/>
      <c r="C212" s="37"/>
      <c r="D212" s="37"/>
      <c r="E212" s="3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0.25" customHeight="1" x14ac:dyDescent="0.35">
      <c r="A213" s="1"/>
      <c r="B213" s="1"/>
      <c r="C213" s="37"/>
      <c r="D213" s="37"/>
      <c r="E213" s="3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0.25" customHeight="1" x14ac:dyDescent="0.35">
      <c r="A214" s="1"/>
      <c r="B214" s="1"/>
      <c r="C214" s="37"/>
      <c r="D214" s="37"/>
      <c r="E214" s="3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0.25" customHeight="1" x14ac:dyDescent="0.35">
      <c r="A215" s="1"/>
      <c r="B215" s="1"/>
      <c r="C215" s="37"/>
      <c r="D215" s="37"/>
      <c r="E215" s="3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0.25" customHeight="1" x14ac:dyDescent="0.35">
      <c r="A216" s="1"/>
      <c r="B216" s="1"/>
      <c r="C216" s="37"/>
      <c r="D216" s="37"/>
      <c r="E216" s="3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0.25" customHeight="1" x14ac:dyDescent="0.35">
      <c r="A217" s="1"/>
      <c r="B217" s="1"/>
      <c r="C217" s="37"/>
      <c r="D217" s="37"/>
      <c r="E217" s="3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0.25" customHeight="1" x14ac:dyDescent="0.35">
      <c r="A218" s="1"/>
      <c r="B218" s="1"/>
      <c r="C218" s="37"/>
      <c r="D218" s="37"/>
      <c r="E218" s="3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0.25" customHeight="1" x14ac:dyDescent="0.35">
      <c r="A219" s="1"/>
      <c r="B219" s="1"/>
      <c r="C219" s="37"/>
      <c r="D219" s="37"/>
      <c r="E219" s="3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0.25" customHeight="1" x14ac:dyDescent="0.35">
      <c r="A220" s="1"/>
      <c r="B220" s="1"/>
      <c r="C220" s="37"/>
      <c r="D220" s="37"/>
      <c r="E220" s="3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0.25" customHeight="1" x14ac:dyDescent="0.35">
      <c r="A221" s="1"/>
      <c r="B221" s="1"/>
      <c r="C221" s="37"/>
      <c r="D221" s="37"/>
      <c r="E221" s="3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0.25" customHeight="1" x14ac:dyDescent="0.35">
      <c r="A222" s="1"/>
      <c r="B222" s="1"/>
      <c r="C222" s="37"/>
      <c r="D222" s="37"/>
      <c r="E222" s="3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0.25" customHeight="1" x14ac:dyDescent="0.35">
      <c r="A223" s="1"/>
      <c r="B223" s="1"/>
      <c r="C223" s="37"/>
      <c r="D223" s="37"/>
      <c r="E223" s="3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0.25" customHeight="1" x14ac:dyDescent="0.35">
      <c r="A224" s="1"/>
      <c r="B224" s="1"/>
      <c r="C224" s="37"/>
      <c r="D224" s="37"/>
      <c r="E224" s="3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0.25" customHeight="1" x14ac:dyDescent="0.35">
      <c r="A225" s="1"/>
      <c r="B225" s="1"/>
      <c r="C225" s="37"/>
      <c r="D225" s="37"/>
      <c r="E225" s="3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0.25" customHeight="1" x14ac:dyDescent="0.35">
      <c r="A226" s="1"/>
      <c r="B226" s="1"/>
      <c r="C226" s="37"/>
      <c r="D226" s="37"/>
      <c r="E226" s="3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0.25" customHeight="1" x14ac:dyDescent="0.35">
      <c r="A227" s="1"/>
      <c r="B227" s="1"/>
      <c r="C227" s="37"/>
      <c r="D227" s="37"/>
      <c r="E227" s="3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0.25" customHeight="1" x14ac:dyDescent="0.35">
      <c r="A228" s="1"/>
      <c r="B228" s="1"/>
      <c r="C228" s="37"/>
      <c r="D228" s="37"/>
      <c r="E228" s="3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0.25" customHeight="1" x14ac:dyDescent="0.35">
      <c r="A229" s="1"/>
      <c r="B229" s="1"/>
      <c r="C229" s="37"/>
      <c r="D229" s="37"/>
      <c r="E229" s="3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0.25" customHeight="1" x14ac:dyDescent="0.35">
      <c r="A230" s="1"/>
      <c r="B230" s="1"/>
      <c r="C230" s="37"/>
      <c r="D230" s="37"/>
      <c r="E230" s="3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0.25" customHeight="1" x14ac:dyDescent="0.35">
      <c r="A231" s="1"/>
      <c r="B231" s="1"/>
      <c r="C231" s="37"/>
      <c r="D231" s="37"/>
      <c r="E231" s="3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0.25" customHeight="1" x14ac:dyDescent="0.35">
      <c r="A232" s="1"/>
      <c r="B232" s="1"/>
      <c r="C232" s="37"/>
      <c r="D232" s="37"/>
      <c r="E232" s="3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0.25" customHeight="1" x14ac:dyDescent="0.35">
      <c r="A233" s="1"/>
      <c r="B233" s="1"/>
      <c r="C233" s="37"/>
      <c r="D233" s="37"/>
      <c r="E233" s="3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0.25" customHeight="1" x14ac:dyDescent="0.35">
      <c r="A234" s="1"/>
      <c r="B234" s="1"/>
      <c r="C234" s="37"/>
      <c r="D234" s="37"/>
      <c r="E234" s="3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0.25" customHeight="1" x14ac:dyDescent="0.35">
      <c r="A235" s="1"/>
      <c r="B235" s="1"/>
      <c r="C235" s="37"/>
      <c r="D235" s="37"/>
      <c r="E235" s="3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0.25" customHeight="1" x14ac:dyDescent="0.35">
      <c r="A236" s="1"/>
      <c r="B236" s="1"/>
      <c r="C236" s="37"/>
      <c r="D236" s="37"/>
      <c r="E236" s="3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0.25" customHeight="1" x14ac:dyDescent="0.35">
      <c r="A237" s="1"/>
      <c r="B237" s="1"/>
      <c r="C237" s="37"/>
      <c r="D237" s="37"/>
      <c r="E237" s="3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0.25" customHeight="1" x14ac:dyDescent="0.35">
      <c r="A238" s="1"/>
      <c r="B238" s="1"/>
      <c r="C238" s="37"/>
      <c r="D238" s="37"/>
      <c r="E238" s="3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0.25" customHeight="1" x14ac:dyDescent="0.35">
      <c r="A239" s="1"/>
      <c r="B239" s="1"/>
      <c r="C239" s="37"/>
      <c r="D239" s="37"/>
      <c r="E239" s="3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0.25" customHeight="1" x14ac:dyDescent="0.35">
      <c r="A240" s="1"/>
      <c r="B240" s="1"/>
      <c r="C240" s="37"/>
      <c r="D240" s="37"/>
      <c r="E240" s="3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0.25" customHeight="1" x14ac:dyDescent="0.35">
      <c r="A241" s="1"/>
      <c r="B241" s="1"/>
      <c r="C241" s="37"/>
      <c r="D241" s="37"/>
      <c r="E241" s="3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0.25" customHeight="1" x14ac:dyDescent="0.35">
      <c r="A242" s="1"/>
      <c r="B242" s="1"/>
      <c r="C242" s="37"/>
      <c r="D242" s="37"/>
      <c r="E242" s="3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0.25" customHeight="1" x14ac:dyDescent="0.35">
      <c r="A243" s="1"/>
      <c r="B243" s="1"/>
      <c r="C243" s="37"/>
      <c r="D243" s="37"/>
      <c r="E243" s="3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0.25" customHeight="1" x14ac:dyDescent="0.35">
      <c r="A244" s="1"/>
      <c r="B244" s="1"/>
      <c r="C244" s="37"/>
      <c r="D244" s="37"/>
      <c r="E244" s="3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0.25" customHeight="1" x14ac:dyDescent="0.35">
      <c r="A245" s="1"/>
      <c r="B245" s="1"/>
      <c r="C245" s="37"/>
      <c r="D245" s="37"/>
      <c r="E245" s="3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0.25" customHeight="1" x14ac:dyDescent="0.35">
      <c r="A246" s="1"/>
      <c r="B246" s="1"/>
      <c r="C246" s="37"/>
      <c r="D246" s="37"/>
      <c r="E246" s="3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0.25" customHeight="1" x14ac:dyDescent="0.35">
      <c r="A247" s="1"/>
      <c r="B247" s="1"/>
      <c r="C247" s="37"/>
      <c r="D247" s="37"/>
      <c r="E247" s="3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0.25" customHeight="1" x14ac:dyDescent="0.35">
      <c r="A248" s="1"/>
      <c r="B248" s="1"/>
      <c r="C248" s="37"/>
      <c r="D248" s="37"/>
      <c r="E248" s="3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0.25" customHeight="1" x14ac:dyDescent="0.35">
      <c r="A249" s="1"/>
      <c r="B249" s="1"/>
      <c r="C249" s="37"/>
      <c r="D249" s="37"/>
      <c r="E249" s="3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0.25" customHeight="1" x14ac:dyDescent="0.35">
      <c r="A250" s="1"/>
      <c r="B250" s="1"/>
      <c r="C250" s="37"/>
      <c r="D250" s="37"/>
      <c r="E250" s="3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0.25" customHeight="1" x14ac:dyDescent="0.35">
      <c r="A251" s="1"/>
      <c r="B251" s="1"/>
      <c r="C251" s="37"/>
      <c r="D251" s="37"/>
      <c r="E251" s="3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0.25" customHeight="1" x14ac:dyDescent="0.35">
      <c r="A252" s="1"/>
      <c r="B252" s="1"/>
      <c r="C252" s="37"/>
      <c r="D252" s="37"/>
      <c r="E252" s="3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0.25" customHeight="1" x14ac:dyDescent="0.35">
      <c r="A253" s="1"/>
      <c r="B253" s="1"/>
      <c r="C253" s="37"/>
      <c r="D253" s="37"/>
      <c r="E253" s="3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0.25" customHeight="1" x14ac:dyDescent="0.35">
      <c r="A254" s="1"/>
      <c r="B254" s="1"/>
      <c r="C254" s="37"/>
      <c r="D254" s="37"/>
      <c r="E254" s="3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0.25" customHeight="1" x14ac:dyDescent="0.35">
      <c r="A255" s="1"/>
      <c r="B255" s="1"/>
      <c r="C255" s="37"/>
      <c r="D255" s="37"/>
      <c r="E255" s="3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0.25" customHeight="1" x14ac:dyDescent="0.35">
      <c r="A256" s="1"/>
      <c r="B256" s="1"/>
      <c r="C256" s="37"/>
      <c r="D256" s="37"/>
      <c r="E256" s="3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0.25" customHeight="1" x14ac:dyDescent="0.35">
      <c r="A257" s="1"/>
      <c r="B257" s="1"/>
      <c r="C257" s="37"/>
      <c r="D257" s="37"/>
      <c r="E257" s="3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0.25" customHeight="1" x14ac:dyDescent="0.35">
      <c r="A258" s="1"/>
      <c r="B258" s="1"/>
      <c r="C258" s="37"/>
      <c r="D258" s="37"/>
      <c r="E258" s="3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0.25" customHeight="1" x14ac:dyDescent="0.35">
      <c r="A259" s="1"/>
      <c r="B259" s="1"/>
      <c r="C259" s="37"/>
      <c r="D259" s="37"/>
      <c r="E259" s="3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0.25" customHeight="1" x14ac:dyDescent="0.35">
      <c r="A260" s="1"/>
      <c r="B260" s="1"/>
      <c r="C260" s="37"/>
      <c r="D260" s="37"/>
      <c r="E260" s="3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0.25" customHeight="1" x14ac:dyDescent="0.35">
      <c r="A261" s="1"/>
      <c r="B261" s="1"/>
      <c r="C261" s="37"/>
      <c r="D261" s="37"/>
      <c r="E261" s="3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0.25" customHeight="1" x14ac:dyDescent="0.35">
      <c r="A262" s="1"/>
      <c r="B262" s="1"/>
      <c r="C262" s="37"/>
      <c r="D262" s="37"/>
      <c r="E262" s="3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0.25" customHeight="1" x14ac:dyDescent="0.35">
      <c r="A263" s="1"/>
      <c r="B263" s="1"/>
      <c r="C263" s="37"/>
      <c r="D263" s="37"/>
      <c r="E263" s="3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0.25" customHeight="1" x14ac:dyDescent="0.35">
      <c r="A264" s="1"/>
      <c r="B264" s="1"/>
      <c r="C264" s="37"/>
      <c r="D264" s="37"/>
      <c r="E264" s="3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0.25" customHeight="1" x14ac:dyDescent="0.35">
      <c r="A265" s="1"/>
      <c r="B265" s="1"/>
      <c r="C265" s="37"/>
      <c r="D265" s="37"/>
      <c r="E265" s="3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0.25" customHeight="1" x14ac:dyDescent="0.35">
      <c r="A266" s="1"/>
      <c r="B266" s="1"/>
      <c r="C266" s="37"/>
      <c r="D266" s="37"/>
      <c r="E266" s="3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0.25" customHeight="1" x14ac:dyDescent="0.35">
      <c r="A267" s="1"/>
      <c r="B267" s="1"/>
      <c r="C267" s="37"/>
      <c r="D267" s="37"/>
      <c r="E267" s="3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0.25" customHeight="1" x14ac:dyDescent="0.35">
      <c r="A268" s="1"/>
      <c r="B268" s="1"/>
      <c r="C268" s="37"/>
      <c r="D268" s="37"/>
      <c r="E268" s="3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0.25" customHeight="1" x14ac:dyDescent="0.35">
      <c r="A269" s="1"/>
      <c r="B269" s="1"/>
      <c r="C269" s="37"/>
      <c r="D269" s="37"/>
      <c r="E269" s="3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0.25" customHeight="1" x14ac:dyDescent="0.35">
      <c r="A270" s="1"/>
      <c r="B270" s="1"/>
      <c r="C270" s="37"/>
      <c r="D270" s="37"/>
      <c r="E270" s="3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0.25" customHeight="1" x14ac:dyDescent="0.35">
      <c r="A271" s="1"/>
      <c r="B271" s="1"/>
      <c r="C271" s="37"/>
      <c r="D271" s="37"/>
      <c r="E271" s="3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0.25" customHeight="1" x14ac:dyDescent="0.35">
      <c r="A272" s="1"/>
      <c r="B272" s="1"/>
      <c r="C272" s="37"/>
      <c r="D272" s="37"/>
      <c r="E272" s="3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0.25" customHeight="1" x14ac:dyDescent="0.35">
      <c r="A273" s="1"/>
      <c r="B273" s="1"/>
      <c r="C273" s="37"/>
      <c r="D273" s="37"/>
      <c r="E273" s="3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0.25" customHeight="1" x14ac:dyDescent="0.35">
      <c r="A274" s="1"/>
      <c r="B274" s="1"/>
      <c r="C274" s="37"/>
      <c r="D274" s="37"/>
      <c r="E274" s="3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0.25" customHeight="1" x14ac:dyDescent="0.35">
      <c r="A275" s="1"/>
      <c r="B275" s="1"/>
      <c r="C275" s="37"/>
      <c r="D275" s="37"/>
      <c r="E275" s="3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0.25" customHeight="1" x14ac:dyDescent="0.35">
      <c r="A276" s="1"/>
      <c r="B276" s="1"/>
      <c r="C276" s="37"/>
      <c r="D276" s="37"/>
      <c r="E276" s="3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0.25" customHeight="1" x14ac:dyDescent="0.35">
      <c r="A277" s="1"/>
      <c r="B277" s="1"/>
      <c r="C277" s="37"/>
      <c r="D277" s="37"/>
      <c r="E277" s="3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0.25" customHeight="1" x14ac:dyDescent="0.35">
      <c r="A278" s="1"/>
      <c r="B278" s="1"/>
      <c r="C278" s="37"/>
      <c r="D278" s="37"/>
      <c r="E278" s="3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0.25" customHeight="1" x14ac:dyDescent="0.35">
      <c r="A279" s="1"/>
      <c r="B279" s="1"/>
      <c r="C279" s="37"/>
      <c r="D279" s="37"/>
      <c r="E279" s="3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0.25" customHeight="1" x14ac:dyDescent="0.35">
      <c r="A280" s="1"/>
      <c r="B280" s="1"/>
      <c r="C280" s="37"/>
      <c r="D280" s="37"/>
      <c r="E280" s="3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0.25" customHeight="1" x14ac:dyDescent="0.35">
      <c r="A281" s="1"/>
      <c r="B281" s="1"/>
      <c r="C281" s="37"/>
      <c r="D281" s="37"/>
      <c r="E281" s="3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0.25" customHeight="1" x14ac:dyDescent="0.35">
      <c r="A282" s="1"/>
      <c r="B282" s="1"/>
      <c r="C282" s="37"/>
      <c r="D282" s="37"/>
      <c r="E282" s="3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0.25" customHeight="1" x14ac:dyDescent="0.35">
      <c r="A283" s="1"/>
      <c r="B283" s="1"/>
      <c r="C283" s="37"/>
      <c r="D283" s="37"/>
      <c r="E283" s="3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0.25" customHeight="1" x14ac:dyDescent="0.35">
      <c r="A284" s="1"/>
      <c r="B284" s="1"/>
      <c r="C284" s="37"/>
      <c r="D284" s="37"/>
      <c r="E284" s="3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0.25" customHeight="1" x14ac:dyDescent="0.35">
      <c r="A285" s="1"/>
      <c r="B285" s="1"/>
      <c r="C285" s="37"/>
      <c r="D285" s="37"/>
      <c r="E285" s="3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0.25" customHeight="1" x14ac:dyDescent="0.35">
      <c r="A286" s="1"/>
      <c r="B286" s="1"/>
      <c r="C286" s="37"/>
      <c r="D286" s="37"/>
      <c r="E286" s="3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75" customHeight="1" x14ac:dyDescent="0.2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75" customHeight="1" x14ac:dyDescent="0.2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75" customHeight="1" x14ac:dyDescent="0.2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75" customHeight="1" x14ac:dyDescent="0.2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75" customHeight="1" x14ac:dyDescent="0.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75" customHeight="1" x14ac:dyDescent="0.2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75" customHeight="1" x14ac:dyDescent="0.2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75" customHeight="1" x14ac:dyDescent="0.2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75" customHeight="1" x14ac:dyDescent="0.2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75" customHeight="1" x14ac:dyDescent="0.2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75" customHeight="1" x14ac:dyDescent="0.2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75" customHeight="1" x14ac:dyDescent="0.2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75" customHeight="1" x14ac:dyDescent="0.2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75" customHeight="1" x14ac:dyDescent="0.2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75" customHeight="1" x14ac:dyDescent="0.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75" customHeight="1" x14ac:dyDescent="0.2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75" customHeight="1" x14ac:dyDescent="0.2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75" customHeight="1" x14ac:dyDescent="0.2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75" customHeight="1" x14ac:dyDescent="0.2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75" customHeight="1" x14ac:dyDescent="0.2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75" customHeight="1" x14ac:dyDescent="0.2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75" customHeight="1" x14ac:dyDescent="0.2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75" customHeight="1" x14ac:dyDescent="0.2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75" customHeight="1" x14ac:dyDescent="0.2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75" customHeight="1" x14ac:dyDescent="0.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75" customHeight="1" x14ac:dyDescent="0.2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75" customHeight="1" x14ac:dyDescent="0.2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75" customHeight="1" x14ac:dyDescent="0.2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75" customHeight="1" x14ac:dyDescent="0.2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75" customHeight="1" x14ac:dyDescent="0.2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75" customHeight="1" x14ac:dyDescent="0.2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75" customHeight="1" x14ac:dyDescent="0.2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75" customHeight="1" x14ac:dyDescent="0.2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75" customHeight="1" x14ac:dyDescent="0.2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75" customHeight="1" x14ac:dyDescent="0.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75" customHeight="1" x14ac:dyDescent="0.2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75" customHeight="1" x14ac:dyDescent="0.2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75" customHeight="1" x14ac:dyDescent="0.2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75" customHeight="1" x14ac:dyDescent="0.2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75" customHeight="1" x14ac:dyDescent="0.2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75" customHeight="1" x14ac:dyDescent="0.2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75" customHeight="1" x14ac:dyDescent="0.2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75" customHeight="1" x14ac:dyDescent="0.2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75" customHeight="1" x14ac:dyDescent="0.2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75" customHeight="1" x14ac:dyDescent="0.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75" customHeight="1" x14ac:dyDescent="0.2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75" customHeight="1" x14ac:dyDescent="0.2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75" customHeight="1" x14ac:dyDescent="0.2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75" customHeight="1" x14ac:dyDescent="0.2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75" customHeight="1" x14ac:dyDescent="0.2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75" customHeight="1" x14ac:dyDescent="0.2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75" customHeight="1" x14ac:dyDescent="0.2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75" customHeight="1" x14ac:dyDescent="0.2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75" customHeight="1" x14ac:dyDescent="0.2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75" customHeight="1" x14ac:dyDescent="0.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75" customHeight="1" x14ac:dyDescent="0.2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75" customHeight="1" x14ac:dyDescent="0.2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75" customHeight="1" x14ac:dyDescent="0.2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75" customHeight="1" x14ac:dyDescent="0.2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75" customHeight="1" x14ac:dyDescent="0.2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75" customHeight="1" x14ac:dyDescent="0.2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75" customHeight="1" x14ac:dyDescent="0.2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75" customHeight="1" x14ac:dyDescent="0.2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75" customHeight="1" x14ac:dyDescent="0.2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75" customHeight="1" x14ac:dyDescent="0.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75" customHeight="1" x14ac:dyDescent="0.2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75" customHeight="1" x14ac:dyDescent="0.2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75" customHeight="1" x14ac:dyDescent="0.2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75" customHeight="1" x14ac:dyDescent="0.2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75" customHeight="1" x14ac:dyDescent="0.2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75" customHeight="1" x14ac:dyDescent="0.2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75" customHeight="1" x14ac:dyDescent="0.2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75" customHeight="1" x14ac:dyDescent="0.2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75" customHeight="1" x14ac:dyDescent="0.2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75" customHeight="1" x14ac:dyDescent="0.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75" customHeight="1" x14ac:dyDescent="0.2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75" customHeight="1" x14ac:dyDescent="0.2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75" customHeight="1" x14ac:dyDescent="0.2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75" customHeight="1" x14ac:dyDescent="0.2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75" customHeight="1" x14ac:dyDescent="0.2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75" customHeight="1" x14ac:dyDescent="0.2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75" customHeight="1" x14ac:dyDescent="0.2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75" customHeight="1" x14ac:dyDescent="0.2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75" customHeight="1" x14ac:dyDescent="0.2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75" customHeight="1" x14ac:dyDescent="0.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75" customHeight="1" x14ac:dyDescent="0.2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75" customHeight="1" x14ac:dyDescent="0.2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75" customHeight="1" x14ac:dyDescent="0.2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75" customHeight="1" x14ac:dyDescent="0.2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75" customHeight="1" x14ac:dyDescent="0.2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75" customHeight="1" x14ac:dyDescent="0.2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75" customHeight="1" x14ac:dyDescent="0.2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75" customHeight="1" x14ac:dyDescent="0.2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75" customHeight="1" x14ac:dyDescent="0.2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75" customHeight="1" x14ac:dyDescent="0.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75" customHeight="1" x14ac:dyDescent="0.2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75" customHeight="1" x14ac:dyDescent="0.2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75" customHeight="1" x14ac:dyDescent="0.2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75" customHeight="1" x14ac:dyDescent="0.2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75" customHeight="1" x14ac:dyDescent="0.2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75" customHeight="1" x14ac:dyDescent="0.2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75" customHeight="1" x14ac:dyDescent="0.2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75" customHeight="1" x14ac:dyDescent="0.2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75" customHeight="1" x14ac:dyDescent="0.2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75" customHeight="1" x14ac:dyDescent="0.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75" customHeight="1" x14ac:dyDescent="0.2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75" customHeight="1" x14ac:dyDescent="0.2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75" customHeight="1" x14ac:dyDescent="0.2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75" customHeight="1" x14ac:dyDescent="0.2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75" customHeight="1" x14ac:dyDescent="0.2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75" customHeight="1" x14ac:dyDescent="0.2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75" customHeight="1" x14ac:dyDescent="0.2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75" customHeight="1" x14ac:dyDescent="0.2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75" customHeight="1" x14ac:dyDescent="0.2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75" customHeight="1" x14ac:dyDescent="0.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75" customHeight="1" x14ac:dyDescent="0.2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75" customHeight="1" x14ac:dyDescent="0.2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75" customHeight="1" x14ac:dyDescent="0.2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75" customHeight="1" x14ac:dyDescent="0.2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75" customHeight="1" x14ac:dyDescent="0.2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75" customHeight="1" x14ac:dyDescent="0.2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75" customHeight="1" x14ac:dyDescent="0.2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75" customHeight="1" x14ac:dyDescent="0.2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75" customHeight="1" x14ac:dyDescent="0.2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75" customHeight="1" x14ac:dyDescent="0.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75" customHeight="1" x14ac:dyDescent="0.2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75" customHeight="1" x14ac:dyDescent="0.2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75" customHeight="1" x14ac:dyDescent="0.2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75" customHeight="1" x14ac:dyDescent="0.2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75" customHeight="1" x14ac:dyDescent="0.2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75" customHeight="1" x14ac:dyDescent="0.2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75" customHeight="1" x14ac:dyDescent="0.2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75" customHeight="1" x14ac:dyDescent="0.2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75" customHeight="1" x14ac:dyDescent="0.2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75" customHeight="1" x14ac:dyDescent="0.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75" customHeight="1" x14ac:dyDescent="0.2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75" customHeight="1" x14ac:dyDescent="0.2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75" customHeight="1" x14ac:dyDescent="0.2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75" customHeight="1" x14ac:dyDescent="0.2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75" customHeight="1" x14ac:dyDescent="0.2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75" customHeight="1" x14ac:dyDescent="0.2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75" customHeight="1" x14ac:dyDescent="0.2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75" customHeight="1" x14ac:dyDescent="0.2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75" customHeight="1" x14ac:dyDescent="0.2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75" customHeight="1" x14ac:dyDescent="0.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75" customHeight="1" x14ac:dyDescent="0.2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75" customHeight="1" x14ac:dyDescent="0.2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75" customHeight="1" x14ac:dyDescent="0.2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75" customHeight="1" x14ac:dyDescent="0.2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75" customHeight="1" x14ac:dyDescent="0.2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75" customHeight="1" x14ac:dyDescent="0.2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75" customHeight="1" x14ac:dyDescent="0.2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75" customHeight="1" x14ac:dyDescent="0.2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75" customHeight="1" x14ac:dyDescent="0.2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75" customHeight="1" x14ac:dyDescent="0.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75" customHeight="1" x14ac:dyDescent="0.2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75" customHeight="1" x14ac:dyDescent="0.2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75" customHeight="1" x14ac:dyDescent="0.2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75" customHeight="1" x14ac:dyDescent="0.2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75" customHeight="1" x14ac:dyDescent="0.2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75" customHeight="1" x14ac:dyDescent="0.2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75" customHeight="1" x14ac:dyDescent="0.2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75" customHeight="1" x14ac:dyDescent="0.2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75" customHeight="1" x14ac:dyDescent="0.2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75" customHeight="1" x14ac:dyDescent="0.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75" customHeight="1" x14ac:dyDescent="0.2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75" customHeight="1" x14ac:dyDescent="0.2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75" customHeight="1" x14ac:dyDescent="0.2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75" customHeight="1" x14ac:dyDescent="0.2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75" customHeight="1" x14ac:dyDescent="0.2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75" customHeight="1" x14ac:dyDescent="0.2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75" customHeight="1" x14ac:dyDescent="0.2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75" customHeight="1" x14ac:dyDescent="0.2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75" customHeight="1" x14ac:dyDescent="0.2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75" customHeight="1" x14ac:dyDescent="0.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75" customHeight="1" x14ac:dyDescent="0.2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75" customHeight="1" x14ac:dyDescent="0.2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75" customHeight="1" x14ac:dyDescent="0.2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75" customHeight="1" x14ac:dyDescent="0.2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75" customHeight="1" x14ac:dyDescent="0.2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75" customHeight="1" x14ac:dyDescent="0.2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75" customHeight="1" x14ac:dyDescent="0.2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75" customHeight="1" x14ac:dyDescent="0.2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75" customHeight="1" x14ac:dyDescent="0.2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75" customHeight="1" x14ac:dyDescent="0.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75" customHeight="1" x14ac:dyDescent="0.2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75" customHeight="1" x14ac:dyDescent="0.2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75" customHeight="1" x14ac:dyDescent="0.2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75" customHeight="1" x14ac:dyDescent="0.2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75" customHeight="1" x14ac:dyDescent="0.2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75" customHeight="1" x14ac:dyDescent="0.2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75" customHeight="1" x14ac:dyDescent="0.2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75" customHeight="1" x14ac:dyDescent="0.2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75" customHeight="1" x14ac:dyDescent="0.2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75" customHeight="1" x14ac:dyDescent="0.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75" customHeight="1" x14ac:dyDescent="0.2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75" customHeight="1" x14ac:dyDescent="0.2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75" customHeight="1" x14ac:dyDescent="0.2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75" customHeight="1" x14ac:dyDescent="0.2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75" customHeight="1" x14ac:dyDescent="0.2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75" customHeight="1" x14ac:dyDescent="0.2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75" customHeight="1" x14ac:dyDescent="0.2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75" customHeight="1" x14ac:dyDescent="0.2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75" customHeight="1" x14ac:dyDescent="0.2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75" customHeight="1" x14ac:dyDescent="0.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75" customHeight="1" x14ac:dyDescent="0.2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75" customHeight="1" x14ac:dyDescent="0.2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75" customHeight="1" x14ac:dyDescent="0.2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75" customHeight="1" x14ac:dyDescent="0.2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75" customHeight="1" x14ac:dyDescent="0.2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75" customHeight="1" x14ac:dyDescent="0.2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75" customHeight="1" x14ac:dyDescent="0.2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75" customHeight="1" x14ac:dyDescent="0.2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75" customHeight="1" x14ac:dyDescent="0.2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75" customHeight="1" x14ac:dyDescent="0.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75" customHeight="1" x14ac:dyDescent="0.2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75" customHeight="1" x14ac:dyDescent="0.2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75" customHeight="1" x14ac:dyDescent="0.2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75" customHeight="1" x14ac:dyDescent="0.2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75" customHeight="1" x14ac:dyDescent="0.2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75" customHeight="1" x14ac:dyDescent="0.2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75" customHeight="1" x14ac:dyDescent="0.2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75" customHeight="1" x14ac:dyDescent="0.2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75" customHeight="1" x14ac:dyDescent="0.2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75" customHeight="1" x14ac:dyDescent="0.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75" customHeight="1" x14ac:dyDescent="0.2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75" customHeight="1" x14ac:dyDescent="0.2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75" customHeight="1" x14ac:dyDescent="0.2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75" customHeight="1" x14ac:dyDescent="0.2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75" customHeight="1" x14ac:dyDescent="0.2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75" customHeight="1" x14ac:dyDescent="0.2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75" customHeight="1" x14ac:dyDescent="0.2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75" customHeight="1" x14ac:dyDescent="0.2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75" customHeight="1" x14ac:dyDescent="0.2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75" customHeight="1" x14ac:dyDescent="0.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75" customHeight="1" x14ac:dyDescent="0.2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75" customHeight="1" x14ac:dyDescent="0.2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75" customHeight="1" x14ac:dyDescent="0.2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75" customHeight="1" x14ac:dyDescent="0.2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75" customHeight="1" x14ac:dyDescent="0.2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75" customHeight="1" x14ac:dyDescent="0.2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75" customHeight="1" x14ac:dyDescent="0.2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75" customHeight="1" x14ac:dyDescent="0.2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75" customHeight="1" x14ac:dyDescent="0.2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75" customHeight="1" x14ac:dyDescent="0.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75" customHeight="1" x14ac:dyDescent="0.2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75" customHeight="1" x14ac:dyDescent="0.2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75" customHeight="1" x14ac:dyDescent="0.2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75" customHeight="1" x14ac:dyDescent="0.2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75" customHeight="1" x14ac:dyDescent="0.2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75" customHeight="1" x14ac:dyDescent="0.2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75" customHeight="1" x14ac:dyDescent="0.2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75" customHeight="1" x14ac:dyDescent="0.2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75" customHeight="1" x14ac:dyDescent="0.2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75" customHeight="1" x14ac:dyDescent="0.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75" customHeight="1" x14ac:dyDescent="0.2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75" customHeight="1" x14ac:dyDescent="0.2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75" customHeight="1" x14ac:dyDescent="0.2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75" customHeight="1" x14ac:dyDescent="0.2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75" customHeight="1" x14ac:dyDescent="0.2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75" customHeight="1" x14ac:dyDescent="0.2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75" customHeight="1" x14ac:dyDescent="0.2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75" customHeight="1" x14ac:dyDescent="0.2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75" customHeight="1" x14ac:dyDescent="0.2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75" customHeight="1" x14ac:dyDescent="0.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75" customHeight="1" x14ac:dyDescent="0.2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75" customHeight="1" x14ac:dyDescent="0.2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75" customHeight="1" x14ac:dyDescent="0.2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75" customHeight="1" x14ac:dyDescent="0.2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75" customHeight="1" x14ac:dyDescent="0.2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75" customHeight="1" x14ac:dyDescent="0.2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75" customHeight="1" x14ac:dyDescent="0.2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75" customHeight="1" x14ac:dyDescent="0.2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75" customHeight="1" x14ac:dyDescent="0.2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75" customHeight="1" x14ac:dyDescent="0.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75" customHeight="1" x14ac:dyDescent="0.2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75" customHeight="1" x14ac:dyDescent="0.2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75" customHeight="1" x14ac:dyDescent="0.2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75" customHeight="1" x14ac:dyDescent="0.2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75" customHeight="1" x14ac:dyDescent="0.2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75" customHeight="1" x14ac:dyDescent="0.2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75" customHeight="1" x14ac:dyDescent="0.2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75" customHeight="1" x14ac:dyDescent="0.2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75" customHeight="1" x14ac:dyDescent="0.2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75" customHeight="1" x14ac:dyDescent="0.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75" customHeight="1" x14ac:dyDescent="0.2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75" customHeight="1" x14ac:dyDescent="0.2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75" customHeight="1" x14ac:dyDescent="0.2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75" customHeight="1" x14ac:dyDescent="0.2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75" customHeight="1" x14ac:dyDescent="0.2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75" customHeight="1" x14ac:dyDescent="0.2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75" customHeight="1" x14ac:dyDescent="0.2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75" customHeight="1" x14ac:dyDescent="0.2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75" customHeight="1" x14ac:dyDescent="0.2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75" customHeight="1" x14ac:dyDescent="0.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75" customHeight="1" x14ac:dyDescent="0.2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75" customHeight="1" x14ac:dyDescent="0.2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75" customHeight="1" x14ac:dyDescent="0.2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75" customHeight="1" x14ac:dyDescent="0.2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75" customHeight="1" x14ac:dyDescent="0.2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75" customHeight="1" x14ac:dyDescent="0.2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75" customHeight="1" x14ac:dyDescent="0.2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75" customHeight="1" x14ac:dyDescent="0.2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75" customHeight="1" x14ac:dyDescent="0.2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75" customHeight="1" x14ac:dyDescent="0.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75" customHeight="1" x14ac:dyDescent="0.2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75" customHeight="1" x14ac:dyDescent="0.2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75" customHeight="1" x14ac:dyDescent="0.2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75" customHeight="1" x14ac:dyDescent="0.2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75" customHeight="1" x14ac:dyDescent="0.2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75" customHeight="1" x14ac:dyDescent="0.2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75" customHeight="1" x14ac:dyDescent="0.2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75" customHeight="1" x14ac:dyDescent="0.2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75" customHeight="1" x14ac:dyDescent="0.2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75" customHeight="1" x14ac:dyDescent="0.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75" customHeight="1" x14ac:dyDescent="0.2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75" customHeight="1" x14ac:dyDescent="0.2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75" customHeight="1" x14ac:dyDescent="0.2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75" customHeight="1" x14ac:dyDescent="0.2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75" customHeight="1" x14ac:dyDescent="0.2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75" customHeight="1" x14ac:dyDescent="0.2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75" customHeight="1" x14ac:dyDescent="0.2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75" customHeight="1" x14ac:dyDescent="0.2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75" customHeight="1" x14ac:dyDescent="0.2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75" customHeight="1" x14ac:dyDescent="0.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75" customHeight="1" x14ac:dyDescent="0.2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75" customHeight="1" x14ac:dyDescent="0.2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75" customHeight="1" x14ac:dyDescent="0.2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75" customHeight="1" x14ac:dyDescent="0.2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75" customHeight="1" x14ac:dyDescent="0.2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75" customHeight="1" x14ac:dyDescent="0.2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75" customHeight="1" x14ac:dyDescent="0.2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75" customHeight="1" x14ac:dyDescent="0.2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75" customHeight="1" x14ac:dyDescent="0.2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75" customHeight="1" x14ac:dyDescent="0.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75" customHeight="1" x14ac:dyDescent="0.2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75" customHeight="1" x14ac:dyDescent="0.2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75" customHeight="1" x14ac:dyDescent="0.2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75" customHeight="1" x14ac:dyDescent="0.2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75" customHeight="1" x14ac:dyDescent="0.2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75" customHeight="1" x14ac:dyDescent="0.2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75" customHeight="1" x14ac:dyDescent="0.2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75" customHeight="1" x14ac:dyDescent="0.2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75" customHeight="1" x14ac:dyDescent="0.2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75" customHeight="1" x14ac:dyDescent="0.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75" customHeight="1" x14ac:dyDescent="0.2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75" customHeight="1" x14ac:dyDescent="0.2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75" customHeight="1" x14ac:dyDescent="0.2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75" customHeight="1" x14ac:dyDescent="0.2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75" customHeight="1" x14ac:dyDescent="0.2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75" customHeight="1" x14ac:dyDescent="0.2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75" customHeight="1" x14ac:dyDescent="0.2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75" customHeight="1" x14ac:dyDescent="0.2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75" customHeight="1" x14ac:dyDescent="0.2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75" customHeight="1" x14ac:dyDescent="0.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75" customHeight="1" x14ac:dyDescent="0.2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75" customHeight="1" x14ac:dyDescent="0.2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75" customHeight="1" x14ac:dyDescent="0.2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75" customHeight="1" x14ac:dyDescent="0.2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75" customHeight="1" x14ac:dyDescent="0.2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75" customHeight="1" x14ac:dyDescent="0.2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75" customHeight="1" x14ac:dyDescent="0.2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75" customHeight="1" x14ac:dyDescent="0.2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75" customHeight="1" x14ac:dyDescent="0.2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75" customHeight="1" x14ac:dyDescent="0.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75" customHeight="1" x14ac:dyDescent="0.2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75" customHeight="1" x14ac:dyDescent="0.2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75" customHeight="1" x14ac:dyDescent="0.2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75" customHeight="1" x14ac:dyDescent="0.2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75" customHeight="1" x14ac:dyDescent="0.2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75" customHeight="1" x14ac:dyDescent="0.2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75" customHeight="1" x14ac:dyDescent="0.2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75" customHeight="1" x14ac:dyDescent="0.2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75" customHeight="1" x14ac:dyDescent="0.2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75" customHeight="1" x14ac:dyDescent="0.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75" customHeight="1" x14ac:dyDescent="0.2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75" customHeight="1" x14ac:dyDescent="0.2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75" customHeight="1" x14ac:dyDescent="0.2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75" customHeight="1" x14ac:dyDescent="0.2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75" customHeight="1" x14ac:dyDescent="0.2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75" customHeight="1" x14ac:dyDescent="0.2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75" customHeight="1" x14ac:dyDescent="0.2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75" customHeight="1" x14ac:dyDescent="0.2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75" customHeight="1" x14ac:dyDescent="0.2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75" customHeight="1" x14ac:dyDescent="0.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75" customHeight="1" x14ac:dyDescent="0.2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75" customHeight="1" x14ac:dyDescent="0.2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75" customHeight="1" x14ac:dyDescent="0.2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75" customHeight="1" x14ac:dyDescent="0.2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75" customHeight="1" x14ac:dyDescent="0.2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75" customHeight="1" x14ac:dyDescent="0.2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75" customHeight="1" x14ac:dyDescent="0.2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75" customHeight="1" x14ac:dyDescent="0.2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75" customHeight="1" x14ac:dyDescent="0.2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75" customHeight="1" x14ac:dyDescent="0.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75" customHeight="1" x14ac:dyDescent="0.2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75" customHeight="1" x14ac:dyDescent="0.2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75" customHeight="1" x14ac:dyDescent="0.2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75" customHeight="1" x14ac:dyDescent="0.2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75" customHeight="1" x14ac:dyDescent="0.2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75" customHeight="1" x14ac:dyDescent="0.2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75" customHeight="1" x14ac:dyDescent="0.2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75" customHeight="1" x14ac:dyDescent="0.2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75" customHeight="1" x14ac:dyDescent="0.2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75" customHeight="1" x14ac:dyDescent="0.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75" customHeight="1" x14ac:dyDescent="0.2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75" customHeight="1" x14ac:dyDescent="0.2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75" customHeight="1" x14ac:dyDescent="0.2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75" customHeight="1" x14ac:dyDescent="0.2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75" customHeight="1" x14ac:dyDescent="0.2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75" customHeight="1" x14ac:dyDescent="0.2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75" customHeight="1" x14ac:dyDescent="0.2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75" customHeight="1" x14ac:dyDescent="0.2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75" customHeight="1" x14ac:dyDescent="0.2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75" customHeight="1" x14ac:dyDescent="0.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75" customHeight="1" x14ac:dyDescent="0.2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75" customHeight="1" x14ac:dyDescent="0.2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75" customHeight="1" x14ac:dyDescent="0.2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75" customHeight="1" x14ac:dyDescent="0.2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75" customHeight="1" x14ac:dyDescent="0.2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75" customHeight="1" x14ac:dyDescent="0.2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75" customHeight="1" x14ac:dyDescent="0.2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75" customHeight="1" x14ac:dyDescent="0.2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75" customHeight="1" x14ac:dyDescent="0.2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75" customHeight="1" x14ac:dyDescent="0.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75" customHeight="1" x14ac:dyDescent="0.2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75" customHeight="1" x14ac:dyDescent="0.2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75" customHeight="1" x14ac:dyDescent="0.2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75" customHeight="1" x14ac:dyDescent="0.2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75" customHeight="1" x14ac:dyDescent="0.2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75" customHeight="1" x14ac:dyDescent="0.2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75" customHeight="1" x14ac:dyDescent="0.2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75" customHeight="1" x14ac:dyDescent="0.2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75" customHeight="1" x14ac:dyDescent="0.2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75" customHeight="1" x14ac:dyDescent="0.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75" customHeight="1" x14ac:dyDescent="0.2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75" customHeight="1" x14ac:dyDescent="0.2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75" customHeight="1" x14ac:dyDescent="0.2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75" customHeight="1" x14ac:dyDescent="0.2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75" customHeight="1" x14ac:dyDescent="0.2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75" customHeight="1" x14ac:dyDescent="0.2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75" customHeight="1" x14ac:dyDescent="0.2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75" customHeight="1" x14ac:dyDescent="0.2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75" customHeight="1" x14ac:dyDescent="0.2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75" customHeight="1" x14ac:dyDescent="0.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75" customHeight="1" x14ac:dyDescent="0.2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75" customHeight="1" x14ac:dyDescent="0.2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75" customHeight="1" x14ac:dyDescent="0.2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75" customHeight="1" x14ac:dyDescent="0.2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75" customHeight="1" x14ac:dyDescent="0.2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75" customHeight="1" x14ac:dyDescent="0.2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75" customHeight="1" x14ac:dyDescent="0.2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75" customHeight="1" x14ac:dyDescent="0.2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75" customHeight="1" x14ac:dyDescent="0.2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75" customHeight="1" x14ac:dyDescent="0.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75" customHeight="1" x14ac:dyDescent="0.2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75" customHeight="1" x14ac:dyDescent="0.2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75" customHeight="1" x14ac:dyDescent="0.2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75" customHeight="1" x14ac:dyDescent="0.2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75" customHeight="1" x14ac:dyDescent="0.2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75" customHeight="1" x14ac:dyDescent="0.2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75" customHeight="1" x14ac:dyDescent="0.2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75" customHeight="1" x14ac:dyDescent="0.2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75" customHeight="1" x14ac:dyDescent="0.2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75" customHeight="1" x14ac:dyDescent="0.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75" customHeight="1" x14ac:dyDescent="0.2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75" customHeight="1" x14ac:dyDescent="0.2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75" customHeight="1" x14ac:dyDescent="0.2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75" customHeight="1" x14ac:dyDescent="0.2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75" customHeight="1" x14ac:dyDescent="0.2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75" customHeight="1" x14ac:dyDescent="0.2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75" customHeight="1" x14ac:dyDescent="0.2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75" customHeight="1" x14ac:dyDescent="0.2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75" customHeight="1" x14ac:dyDescent="0.2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75" customHeight="1" x14ac:dyDescent="0.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75" customHeight="1" x14ac:dyDescent="0.2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75" customHeight="1" x14ac:dyDescent="0.2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75" customHeight="1" x14ac:dyDescent="0.2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75" customHeight="1" x14ac:dyDescent="0.2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75" customHeight="1" x14ac:dyDescent="0.2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75" customHeight="1" x14ac:dyDescent="0.2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75" customHeight="1" x14ac:dyDescent="0.2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75" customHeight="1" x14ac:dyDescent="0.2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75" customHeight="1" x14ac:dyDescent="0.2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75" customHeight="1" x14ac:dyDescent="0.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75" customHeight="1" x14ac:dyDescent="0.2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75" customHeight="1" x14ac:dyDescent="0.2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75" customHeight="1" x14ac:dyDescent="0.2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75" customHeight="1" x14ac:dyDescent="0.2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75" customHeight="1" x14ac:dyDescent="0.2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75" customHeight="1" x14ac:dyDescent="0.2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75" customHeight="1" x14ac:dyDescent="0.2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75" customHeight="1" x14ac:dyDescent="0.2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75" customHeight="1" x14ac:dyDescent="0.2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75" customHeight="1" x14ac:dyDescent="0.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75" customHeight="1" x14ac:dyDescent="0.2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75" customHeight="1" x14ac:dyDescent="0.2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75" customHeight="1" x14ac:dyDescent="0.2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75" customHeight="1" x14ac:dyDescent="0.2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75" customHeight="1" x14ac:dyDescent="0.2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75" customHeight="1" x14ac:dyDescent="0.2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75" customHeight="1" x14ac:dyDescent="0.2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75" customHeight="1" x14ac:dyDescent="0.2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75" customHeight="1" x14ac:dyDescent="0.2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75" customHeight="1" x14ac:dyDescent="0.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75" customHeight="1" x14ac:dyDescent="0.2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75" customHeight="1" x14ac:dyDescent="0.2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75" customHeight="1" x14ac:dyDescent="0.2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75" customHeight="1" x14ac:dyDescent="0.2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75" customHeight="1" x14ac:dyDescent="0.2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75" customHeight="1" x14ac:dyDescent="0.2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75" customHeight="1" x14ac:dyDescent="0.2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75" customHeight="1" x14ac:dyDescent="0.2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75" customHeight="1" x14ac:dyDescent="0.2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75" customHeight="1" x14ac:dyDescent="0.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75" customHeight="1" x14ac:dyDescent="0.2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75" customHeight="1" x14ac:dyDescent="0.2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75" customHeight="1" x14ac:dyDescent="0.2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75" customHeight="1" x14ac:dyDescent="0.2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75" customHeight="1" x14ac:dyDescent="0.2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75" customHeight="1" x14ac:dyDescent="0.2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75" customHeight="1" x14ac:dyDescent="0.2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75" customHeight="1" x14ac:dyDescent="0.2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75" customHeight="1" x14ac:dyDescent="0.2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75" customHeight="1" x14ac:dyDescent="0.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75" customHeight="1" x14ac:dyDescent="0.2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75" customHeight="1" x14ac:dyDescent="0.2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75" customHeight="1" x14ac:dyDescent="0.2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75" customHeight="1" x14ac:dyDescent="0.2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75" customHeight="1" x14ac:dyDescent="0.2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75" customHeight="1" x14ac:dyDescent="0.2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75" customHeight="1" x14ac:dyDescent="0.2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75" customHeight="1" x14ac:dyDescent="0.2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75" customHeight="1" x14ac:dyDescent="0.2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75" customHeight="1" x14ac:dyDescent="0.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75" customHeight="1" x14ac:dyDescent="0.2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75" customHeight="1" x14ac:dyDescent="0.2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75" customHeight="1" x14ac:dyDescent="0.2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75" customHeight="1" x14ac:dyDescent="0.2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75" customHeight="1" x14ac:dyDescent="0.2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75" customHeight="1" x14ac:dyDescent="0.2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75" customHeight="1" x14ac:dyDescent="0.2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75" customHeight="1" x14ac:dyDescent="0.2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75" customHeight="1" x14ac:dyDescent="0.2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75" customHeight="1" x14ac:dyDescent="0.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75" customHeight="1" x14ac:dyDescent="0.2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75" customHeight="1" x14ac:dyDescent="0.2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75" customHeight="1" x14ac:dyDescent="0.2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75" customHeight="1" x14ac:dyDescent="0.2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75" customHeight="1" x14ac:dyDescent="0.2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75" customHeight="1" x14ac:dyDescent="0.2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75" customHeight="1" x14ac:dyDescent="0.2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75" customHeight="1" x14ac:dyDescent="0.2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75" customHeight="1" x14ac:dyDescent="0.2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75" customHeight="1" x14ac:dyDescent="0.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75" customHeight="1" x14ac:dyDescent="0.2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75" customHeight="1" x14ac:dyDescent="0.2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75" customHeight="1" x14ac:dyDescent="0.2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75" customHeight="1" x14ac:dyDescent="0.2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75" customHeight="1" x14ac:dyDescent="0.2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75" customHeight="1" x14ac:dyDescent="0.2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75" customHeight="1" x14ac:dyDescent="0.2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75" customHeight="1" x14ac:dyDescent="0.2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75" customHeight="1" x14ac:dyDescent="0.2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75" customHeight="1" x14ac:dyDescent="0.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75" customHeight="1" x14ac:dyDescent="0.2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75" customHeight="1" x14ac:dyDescent="0.2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75" customHeight="1" x14ac:dyDescent="0.2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75" customHeight="1" x14ac:dyDescent="0.2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75" customHeight="1" x14ac:dyDescent="0.2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75" customHeight="1" x14ac:dyDescent="0.2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75" customHeight="1" x14ac:dyDescent="0.2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75" customHeight="1" x14ac:dyDescent="0.2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75" customHeight="1" x14ac:dyDescent="0.2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75" customHeight="1" x14ac:dyDescent="0.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75" customHeight="1" x14ac:dyDescent="0.2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75" customHeight="1" x14ac:dyDescent="0.2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75" customHeight="1" x14ac:dyDescent="0.2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75" customHeight="1" x14ac:dyDescent="0.2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75" customHeight="1" x14ac:dyDescent="0.2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75" customHeight="1" x14ac:dyDescent="0.2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75" customHeight="1" x14ac:dyDescent="0.2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75" customHeight="1" x14ac:dyDescent="0.2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75" customHeight="1" x14ac:dyDescent="0.2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75" customHeight="1" x14ac:dyDescent="0.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75" customHeight="1" x14ac:dyDescent="0.2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75" customHeight="1" x14ac:dyDescent="0.2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75" customHeight="1" x14ac:dyDescent="0.2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75" customHeight="1" x14ac:dyDescent="0.2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75" customHeight="1" x14ac:dyDescent="0.2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75" customHeight="1" x14ac:dyDescent="0.2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75" customHeight="1" x14ac:dyDescent="0.2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75" customHeight="1" x14ac:dyDescent="0.2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75" customHeight="1" x14ac:dyDescent="0.2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75" customHeight="1" x14ac:dyDescent="0.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75" customHeight="1" x14ac:dyDescent="0.2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75" customHeight="1" x14ac:dyDescent="0.2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75" customHeight="1" x14ac:dyDescent="0.2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75" customHeight="1" x14ac:dyDescent="0.2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75" customHeight="1" x14ac:dyDescent="0.2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75" customHeight="1" x14ac:dyDescent="0.2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75" customHeight="1" x14ac:dyDescent="0.2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75" customHeight="1" x14ac:dyDescent="0.2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75" customHeight="1" x14ac:dyDescent="0.2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75" customHeight="1" x14ac:dyDescent="0.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75" customHeight="1" x14ac:dyDescent="0.2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75" customHeight="1" x14ac:dyDescent="0.2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75" customHeight="1" x14ac:dyDescent="0.2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75" customHeight="1" x14ac:dyDescent="0.2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75" customHeight="1" x14ac:dyDescent="0.2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75" customHeight="1" x14ac:dyDescent="0.2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75" customHeight="1" x14ac:dyDescent="0.2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75" customHeight="1" x14ac:dyDescent="0.2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75" customHeight="1" x14ac:dyDescent="0.2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75" customHeight="1" x14ac:dyDescent="0.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75" customHeight="1" x14ac:dyDescent="0.2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75" customHeight="1" x14ac:dyDescent="0.2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75" customHeight="1" x14ac:dyDescent="0.2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75" customHeight="1" x14ac:dyDescent="0.2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75" customHeight="1" x14ac:dyDescent="0.2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75" customHeight="1" x14ac:dyDescent="0.2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75" customHeight="1" x14ac:dyDescent="0.2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75" customHeight="1" x14ac:dyDescent="0.2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75" customHeight="1" x14ac:dyDescent="0.2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75" customHeight="1" x14ac:dyDescent="0.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75" customHeight="1" x14ac:dyDescent="0.2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75" customHeight="1" x14ac:dyDescent="0.2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75" customHeight="1" x14ac:dyDescent="0.2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75" customHeight="1" x14ac:dyDescent="0.2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75" customHeight="1" x14ac:dyDescent="0.2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75" customHeight="1" x14ac:dyDescent="0.2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75" customHeight="1" x14ac:dyDescent="0.2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75" customHeight="1" x14ac:dyDescent="0.2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75" customHeight="1" x14ac:dyDescent="0.2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75" customHeight="1" x14ac:dyDescent="0.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75" customHeight="1" x14ac:dyDescent="0.2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75" customHeight="1" x14ac:dyDescent="0.2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75" customHeight="1" x14ac:dyDescent="0.2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75" customHeight="1" x14ac:dyDescent="0.2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75" customHeight="1" x14ac:dyDescent="0.2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75" customHeight="1" x14ac:dyDescent="0.2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75" customHeight="1" x14ac:dyDescent="0.2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75" customHeight="1" x14ac:dyDescent="0.2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75" customHeight="1" x14ac:dyDescent="0.2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75" customHeight="1" x14ac:dyDescent="0.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75" customHeight="1" x14ac:dyDescent="0.2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75" customHeight="1" x14ac:dyDescent="0.2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75" customHeight="1" x14ac:dyDescent="0.2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75" customHeight="1" x14ac:dyDescent="0.2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75" customHeight="1" x14ac:dyDescent="0.2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75" customHeight="1" x14ac:dyDescent="0.2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75" customHeight="1" x14ac:dyDescent="0.2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75" customHeight="1" x14ac:dyDescent="0.2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75" customHeight="1" x14ac:dyDescent="0.2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75" customHeight="1" x14ac:dyDescent="0.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75" customHeight="1" x14ac:dyDescent="0.2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75" customHeight="1" x14ac:dyDescent="0.2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75" customHeight="1" x14ac:dyDescent="0.2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75" customHeight="1" x14ac:dyDescent="0.2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75" customHeight="1" x14ac:dyDescent="0.2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75" customHeight="1" x14ac:dyDescent="0.2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75" customHeight="1" x14ac:dyDescent="0.2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75" customHeight="1" x14ac:dyDescent="0.2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75" customHeight="1" x14ac:dyDescent="0.2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75" customHeight="1" x14ac:dyDescent="0.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75" customHeight="1" x14ac:dyDescent="0.2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75" customHeight="1" x14ac:dyDescent="0.2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75" customHeight="1" x14ac:dyDescent="0.2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75" customHeight="1" x14ac:dyDescent="0.2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75" customHeight="1" x14ac:dyDescent="0.2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75" customHeight="1" x14ac:dyDescent="0.2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75" customHeight="1" x14ac:dyDescent="0.2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75" customHeight="1" x14ac:dyDescent="0.2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75" customHeight="1" x14ac:dyDescent="0.2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75" customHeight="1" x14ac:dyDescent="0.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75" customHeight="1" x14ac:dyDescent="0.2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75" customHeight="1" x14ac:dyDescent="0.2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75" customHeight="1" x14ac:dyDescent="0.2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75" customHeight="1" x14ac:dyDescent="0.2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75" customHeight="1" x14ac:dyDescent="0.2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75" customHeight="1" x14ac:dyDescent="0.2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75" customHeight="1" x14ac:dyDescent="0.2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75" customHeight="1" x14ac:dyDescent="0.2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75" customHeight="1" x14ac:dyDescent="0.2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75" customHeight="1" x14ac:dyDescent="0.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75" customHeight="1" x14ac:dyDescent="0.2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75" customHeight="1" x14ac:dyDescent="0.2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75" customHeight="1" x14ac:dyDescent="0.2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75" customHeight="1" x14ac:dyDescent="0.2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75" customHeight="1" x14ac:dyDescent="0.2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75" customHeight="1" x14ac:dyDescent="0.2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75" customHeight="1" x14ac:dyDescent="0.2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75" customHeight="1" x14ac:dyDescent="0.2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75" customHeight="1" x14ac:dyDescent="0.2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75" customHeight="1" x14ac:dyDescent="0.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75" customHeight="1" x14ac:dyDescent="0.2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75" customHeight="1" x14ac:dyDescent="0.2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75" customHeight="1" x14ac:dyDescent="0.2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75" customHeight="1" x14ac:dyDescent="0.2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75" customHeight="1" x14ac:dyDescent="0.2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75" customHeight="1" x14ac:dyDescent="0.2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75" customHeight="1" x14ac:dyDescent="0.2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75" customHeight="1" x14ac:dyDescent="0.2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75" customHeight="1" x14ac:dyDescent="0.2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75" customHeight="1" x14ac:dyDescent="0.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75" customHeight="1" x14ac:dyDescent="0.2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75" customHeight="1" x14ac:dyDescent="0.2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75" customHeight="1" x14ac:dyDescent="0.2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75" customHeight="1" x14ac:dyDescent="0.2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75" customHeight="1" x14ac:dyDescent="0.2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75" customHeight="1" x14ac:dyDescent="0.2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5.75" customHeight="1" x14ac:dyDescent="0.2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5.75" customHeight="1" x14ac:dyDescent="0.2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5.75" customHeight="1" x14ac:dyDescent="0.2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mergeCells count="19">
    <mergeCell ref="A1:E1"/>
    <mergeCell ref="B72:E72"/>
    <mergeCell ref="B9:D9"/>
    <mergeCell ref="B10:D10"/>
    <mergeCell ref="B11:D11"/>
    <mergeCell ref="B12:D12"/>
    <mergeCell ref="B13:D13"/>
    <mergeCell ref="B16:E16"/>
    <mergeCell ref="B25:E25"/>
    <mergeCell ref="B7:D7"/>
    <mergeCell ref="B8:D8"/>
    <mergeCell ref="B34:E34"/>
    <mergeCell ref="B43:E43"/>
    <mergeCell ref="B65:E65"/>
    <mergeCell ref="A2:E2"/>
    <mergeCell ref="B3:D3"/>
    <mergeCell ref="B4:D4"/>
    <mergeCell ref="B5:D5"/>
    <mergeCell ref="B6:D6"/>
  </mergeCells>
  <pageMargins left="0.7" right="0.7" top="0.75" bottom="0.75" header="0" footer="0"/>
  <pageSetup orientation="portrait"/>
  <rowBreaks count="1" manualBreakCount="1">
    <brk id="42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pmuldoon</dc:creator>
  <cp:lastModifiedBy>USER</cp:lastModifiedBy>
  <dcterms:created xsi:type="dcterms:W3CDTF">2022-10-27T08:59:05Z</dcterms:created>
  <dcterms:modified xsi:type="dcterms:W3CDTF">2026-05-12T08:50:18Z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2016-07-11T00:00:00Z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2022-10-27T00:00:00Z</vt:filetime>
  </property>
  <property fmtid="{D5CDD505-2E9C-101B-9397-08002B2CF9AE}" pid="5" name="Producer">
    <vt:lpwstr>Acrobat Distiller 10.0.0 (Windows)</vt:lpwstr>
  </property>
</Properties>
</file>