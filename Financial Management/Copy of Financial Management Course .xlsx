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📊 Sample Plan — Tolu" sheetId="2" r:id="rId5"/>
    <sheet state="visible" name="📝 My Financial Plan" sheetId="3" r:id="rId6"/>
  </sheets>
  <definedNames/>
  <calcPr/>
  <extLst>
    <ext uri="GoogleSheetsCustomDataVersion2">
      <go:sheetsCustomData xmlns:go="http://customooxmlschemas.google.com/" r:id="rId7" roundtripDataChecksum="Dn2bcVk8cjZM14AgC6Viyua37wOcllm89z5E6a1DDNM="/>
    </ext>
  </extLst>
</workbook>
</file>

<file path=xl/sharedStrings.xml><?xml version="1.0" encoding="utf-8"?>
<sst xmlns="http://schemas.openxmlformats.org/spreadsheetml/2006/main" count="323" uniqueCount="197">
  <si>
    <t>SMART STEWARDS — FINANCIAL MANAGEMENT COURSE
Final Project: My Mini Financial Plan</t>
  </si>
  <si>
    <t>ABOUT THIS PROJECT</t>
  </si>
  <si>
    <t>Congratulations on reaching the Final Project of the GATEWAY Course!</t>
  </si>
  <si>
    <t>This workbook is your financial plan — built by you, for your real life.</t>
  </si>
  <si>
    <t>It is not a test. It is a tool. The goal is to look honestly at where you are financially,</t>
  </si>
  <si>
    <t>define where you want to go, and map a clear, realistic path to get there.</t>
  </si>
  <si>
    <t>This workbook has three sheets:</t>
  </si>
  <si>
    <t>📋 Instructions (this sheet)</t>
  </si>
  <si>
    <t>Read this first. Understand the structure before building.</t>
  </si>
  <si>
    <t>📊 Sample Plan — Tolu</t>
  </si>
  <si>
    <t>A completed plan for a fictional Nigerian freelancer. Study it before filling your own.</t>
  </si>
  <si>
    <t>📝 My Financial Plan</t>
  </si>
  <si>
    <t>Your blank template. Fill every yellow cell with your own numbers and answers.</t>
  </si>
  <si>
    <t>HOW TO COMPLETE YOUR PLAN</t>
  </si>
  <si>
    <t>Step 1</t>
  </si>
  <si>
    <t>Read the Sample Plan (Sheet 2) completely before touching your template.</t>
  </si>
  <si>
    <t>Step 2</t>
  </si>
  <si>
    <t>Open 'My Financial Plan' (Sheet 3). Every yellow cell is for your input.</t>
  </si>
  <si>
    <t>Step 3</t>
  </si>
  <si>
    <t>Complete Section 1 — your personal profile and financial context.</t>
  </si>
  <si>
    <t>Step 4</t>
  </si>
  <si>
    <t>Fill in Section 2 — your monthly income and how you currently allocate it.</t>
  </si>
  <si>
    <t>Step 5</t>
  </si>
  <si>
    <t>Complete Section 3 — your savings buckets and what each is building toward.</t>
  </si>
  <si>
    <t>Step 6</t>
  </si>
  <si>
    <t>Complete Section 4 — your investment allocations (start small if you are new to this).</t>
  </si>
  <si>
    <t>Step 7</t>
  </si>
  <si>
    <t>List your liabilities in Section 5 and understand your debt clearly.</t>
  </si>
  <si>
    <t>Step 8</t>
  </si>
  <si>
    <t>Use Section 6 to calculate your Net Worth — the honest total picture.</t>
  </si>
  <si>
    <t>Step 9</t>
  </si>
  <si>
    <t>Write your financial goals in Section 7 — short, mid, and long term.</t>
  </si>
  <si>
    <t>Step 10</t>
  </si>
  <si>
    <t>Write your action plan in Section 8 — what you will do differently from next month.</t>
  </si>
  <si>
    <t>GROUND RULES</t>
  </si>
  <si>
    <t>•</t>
  </si>
  <si>
    <t>Be honest. A financial plan built on inflated numbers will not help you.</t>
  </si>
  <si>
    <t>Use real figures from your actual bank statements, not estimates.</t>
  </si>
  <si>
    <t>If you do not have a number yet (e.g. retirement savings), write ₦0 — then set a start date.</t>
  </si>
  <si>
    <t>The blue cells are formulas — do not edit them. They calculate automatically.</t>
  </si>
  <si>
    <t>Yellow cells = your input. Fill all of them.</t>
  </si>
  <si>
    <t>This plan is a living document. Revisit it every 3 months.</t>
  </si>
  <si>
    <t>COLOR KEY</t>
  </si>
  <si>
    <t>Your Input</t>
  </si>
  <si>
    <t>Fill in these yellow cells with your own numbers or text.</t>
  </si>
  <si>
    <t>Formula Cell</t>
  </si>
  <si>
    <t>Auto-calculated. Do not edit. Will update when you change inputs.</t>
  </si>
  <si>
    <t>Section Header</t>
  </si>
  <si>
    <t>Marks the start of each plan section.</t>
  </si>
  <si>
    <t>Main Header</t>
  </si>
  <si>
    <t>Title rows — do not edit.</t>
  </si>
  <si>
    <t>Good luck — and remember: clarity is wealth.</t>
  </si>
  <si>
    <t xml:space="preserve">Supported By </t>
  </si>
  <si>
    <t>SMART STEWARDS — MINI FINANCIAL PLAN
Gateway Course: Final Project</t>
  </si>
  <si>
    <t>SECTION 1 — YOUR PERSONAL PROFILE</t>
  </si>
  <si>
    <t>Full Name</t>
  </si>
  <si>
    <t>Your name or business name</t>
  </si>
  <si>
    <t>Tolu Adeyemi</t>
  </si>
  <si>
    <t>Age</t>
  </si>
  <si>
    <t>How old are you?</t>
  </si>
  <si>
    <t>Gig / Business Type</t>
  </si>
  <si>
    <t>e.g. Freelance writer, fashion designer, photographer</t>
  </si>
  <si>
    <t>Freelance Brand Designer</t>
  </si>
  <si>
    <t>City / State</t>
  </si>
  <si>
    <t>Where you are based</t>
  </si>
  <si>
    <t>Lagos, Nigeria</t>
  </si>
  <si>
    <t>Years in business / freelancing</t>
  </si>
  <si>
    <t>Even if less than 1 year, write '0.5'</t>
  </si>
  <si>
    <t>Monthly Income (average last 3 months)</t>
  </si>
  <si>
    <t>In Naira — be honest</t>
  </si>
  <si>
    <t>SECTION 2 — MONTHLY CASHFLOW MANAGEMENT</t>
  </si>
  <si>
    <t xml:space="preserve">  How do you currently allocate your monthly income?</t>
  </si>
  <si>
    <t>Category</t>
  </si>
  <si>
    <t>Monthly Allocation (₦)</t>
  </si>
  <si>
    <t>% of Income</t>
  </si>
  <si>
    <t>Notes / Goal</t>
  </si>
  <si>
    <t>Tithe / Religious Giving</t>
  </si>
  <si>
    <t>10% — giving back first</t>
  </si>
  <si>
    <t>Daily Spending (food, transport, data)</t>
  </si>
  <si>
    <t>Everyday lifestyle</t>
  </si>
  <si>
    <t>Business Expenses</t>
  </si>
  <si>
    <t>Tools, data, marketing, subscriptions</t>
  </si>
  <si>
    <t>Savings (all buckets combined)</t>
  </si>
  <si>
    <t>See Section 3 breakdown</t>
  </si>
  <si>
    <t>Investments (all buckets combined)</t>
  </si>
  <si>
    <t>See Section 4 breakdown</t>
  </si>
  <si>
    <t>TOTAL ALLOCATED</t>
  </si>
  <si>
    <t>Unallocated / Remaining</t>
  </si>
  <si>
    <t>Aim for ₦0 — every naira should have a job</t>
  </si>
  <si>
    <t>SECTION 3 — SAVINGS BREAKDOWN</t>
  </si>
  <si>
    <t xml:space="preserve">  Break down your total savings allocation into specific buckets</t>
  </si>
  <si>
    <t>Savings Bucket</t>
  </si>
  <si>
    <t>Monthly (₦)</t>
  </si>
  <si>
    <t>5-Year Total (₦)</t>
  </si>
  <si>
    <t>Purpose / Goal</t>
  </si>
  <si>
    <t>Emergency Fund</t>
  </si>
  <si>
    <t>Cover 3–6 months of living expenses</t>
  </si>
  <si>
    <t>House / Rent Fund</t>
  </si>
  <si>
    <t>Saving toward own accommodation</t>
  </si>
  <si>
    <t>Business Growth Fund</t>
  </si>
  <si>
    <t>Equipment, training, marketing investments</t>
  </si>
  <si>
    <t>Wedding / Family Planning</t>
  </si>
  <si>
    <t>Future family milestones</t>
  </si>
  <si>
    <t>Travel Fund</t>
  </si>
  <si>
    <t>Personal travel goals</t>
  </si>
  <si>
    <t>TOTAL SAVINGS</t>
  </si>
  <si>
    <t>SECTION 4 — INVESTMENT BREAKDOWN</t>
  </si>
  <si>
    <t xml:space="preserve">  Break down your total investment allocation. Write ₦0 if not yet started.</t>
  </si>
  <si>
    <t>Investment Type</t>
  </si>
  <si>
    <t>Notes / Platform</t>
  </si>
  <si>
    <t>Money Market / Mutual Fund</t>
  </si>
  <si>
    <t>Cowrywise, Stanbic, etc.</t>
  </si>
  <si>
    <t>Stocks / Equities</t>
  </si>
  <si>
    <t>Nigerian Exchange Group, etc.</t>
  </si>
  <si>
    <t>Real Estate (contributions)</t>
  </si>
  <si>
    <t>Land, property, REIT</t>
  </si>
  <si>
    <t>Retirement Savings Account (RSA)</t>
  </si>
  <si>
    <t>PenCom-regulated</t>
  </si>
  <si>
    <t>Insurance Premiums</t>
  </si>
  <si>
    <t>Life, health, business</t>
  </si>
  <si>
    <t>Other (Agric, Crypto, Cooperative)</t>
  </si>
  <si>
    <t>Specify in notes</t>
  </si>
  <si>
    <t>TOTAL INVESTMENTS</t>
  </si>
  <si>
    <t>SECTION 5 — LIABILITIES (DEBTS)</t>
  </si>
  <si>
    <t xml:space="preserve">  List every debt you currently owe. Honesty here is essential.</t>
  </si>
  <si>
    <t>Debt / Liability</t>
  </si>
  <si>
    <t>Total Amount Owed (₦)</t>
  </si>
  <si>
    <t>Monthly Repayment (₦)</t>
  </si>
  <si>
    <t>Interest Rate / Notes</t>
  </si>
  <si>
    <t>Device / Equipment Loan</t>
  </si>
  <si>
    <t>Bought laptop on credit</t>
  </si>
  <si>
    <t>Family / Personal Loan</t>
  </si>
  <si>
    <t>Bank Loan / Overdraft</t>
  </si>
  <si>
    <t>Buy-Now-Pay-Later / Credit Card</t>
  </si>
  <si>
    <t>Other Debt</t>
  </si>
  <si>
    <t>TOTAL LIABILITIES</t>
  </si>
  <si>
    <t>SECTION 6 — NET WORTH SNAPSHOT</t>
  </si>
  <si>
    <t>Your net worth = what you own (assets) minus what you owe (liabilities).</t>
  </si>
  <si>
    <t>Amount (₦)</t>
  </si>
  <si>
    <t>Notes</t>
  </si>
  <si>
    <t>Total Savings (from Section 3)</t>
  </si>
  <si>
    <t>Liquid savings</t>
  </si>
  <si>
    <t>Total Investments (from Section 4)</t>
  </si>
  <si>
    <t>Investment portfolio</t>
  </si>
  <si>
    <t>Business Equity / Shareholding</t>
  </si>
  <si>
    <t>Your ownership stake, if any</t>
  </si>
  <si>
    <t>Other Assets (property, vehicle, etc.)</t>
  </si>
  <si>
    <t>Market value today</t>
  </si>
  <si>
    <t>TOTAL ASSETS</t>
  </si>
  <si>
    <t>Total Liabilities (from Section 5)</t>
  </si>
  <si>
    <t>What you owe</t>
  </si>
  <si>
    <t>NET WORTH TODAY</t>
  </si>
  <si>
    <t>Positive = you own more than you owe. Negative = start there. Both are honest starting points.</t>
  </si>
  <si>
    <t>SECTION 7 — FINANCIAL GOALS</t>
  </si>
  <si>
    <t xml:space="preserve">  Short-Term</t>
  </si>
  <si>
    <t>Goal</t>
  </si>
  <si>
    <t>Target Date</t>
  </si>
  <si>
    <t>How You Will Achieve It</t>
  </si>
  <si>
    <t>Build emergency fund to ₦210,000 (3 months expenses)</t>
  </si>
  <si>
    <t>On track — ₦30k/month</t>
  </si>
  <si>
    <t>Clear device loan (₦120,000)</t>
  </si>
  <si>
    <t>Paying ₦10k/month</t>
  </si>
  <si>
    <t xml:space="preserve">  Mid-Term (3–5 Years)</t>
  </si>
  <si>
    <t>Save ₦1.2m for own apartment deposit</t>
  </si>
  <si>
    <t>₦20k/month to house fund</t>
  </si>
  <si>
    <t>Grow investment portfolio to ₦3.6m</t>
  </si>
  <si>
    <t>Compounding + ₦60k/month</t>
  </si>
  <si>
    <t xml:space="preserve">  Long-Term (5–10 Years)</t>
  </si>
  <si>
    <t>Own a property in Lagos outright</t>
  </si>
  <si>
    <t>2032</t>
  </si>
  <si>
    <t>Long-term real estate plan</t>
  </si>
  <si>
    <t>Build a design agency with 3 staff</t>
  </si>
  <si>
    <t>2030</t>
  </si>
  <si>
    <t>Reinvesting business profits</t>
  </si>
  <si>
    <t>SECTION 8 — MY 30-DAY ACTION PLAN</t>
  </si>
  <si>
    <t xml:space="preserve">  What will you do differently starting next month? Be specific.</t>
  </si>
  <si>
    <t>#</t>
  </si>
  <si>
    <t>Action I Will Take This Month</t>
  </si>
  <si>
    <t>1</t>
  </si>
  <si>
    <t>Open a dedicated savings account and set up a standing order of ₦30,000 on payday.</t>
  </si>
  <si>
    <t>2</t>
  </si>
  <si>
    <t>Track every naira I spend for 30 days using a notes app.</t>
  </si>
  <si>
    <t>3</t>
  </si>
  <si>
    <t>Send AI prompt to research my current market rate and compare to what I charge.</t>
  </si>
  <si>
    <t>4</t>
  </si>
  <si>
    <t>Begin paying ₦10,000/month toward device loan until cleared.</t>
  </si>
  <si>
    <t>5</t>
  </si>
  <si>
    <t>Set a recurring reminder every 1st of the month to update this plan.</t>
  </si>
  <si>
    <t>SECTION 9 — REFLECTION &amp; COMMITMENT</t>
  </si>
  <si>
    <t>What surprised me most about my financial position:</t>
  </si>
  <si>
    <t>The one habit I am committing to change:</t>
  </si>
  <si>
    <t>I will review this plan again on:</t>
  </si>
  <si>
    <t>e.g. 1 July 2026</t>
  </si>
  <si>
    <t>My accountability partner for this plan:</t>
  </si>
  <si>
    <t>Name and how you will check in</t>
  </si>
  <si>
    <t>Smart Stewards Gateway Course — Final Project  |  www.smartstewards.com  |  Your financial plan is a living document. Update it every quarter.</t>
  </si>
  <si>
    <t>Auto-calculated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</si>
</sst>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₦#,##0;&quot;(₦&quot;#,##0\);\-"/>
    <numFmt numFmtId="165" formatCode="0.0%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Arial"/>
    </font>
    <font/>
    <font>
      <b/>
      <sz val="13.0"/>
      <color rgb="FFC0392B"/>
      <name val="Arial"/>
    </font>
    <font>
      <sz val="12.0"/>
      <color rgb="FF2C3E50"/>
      <name val="Arial"/>
    </font>
    <font>
      <sz val="11.0"/>
      <color rgb="FF2C3E50"/>
      <name val="Arial"/>
    </font>
    <font>
      <b/>
      <sz val="11.0"/>
      <color rgb="FF2C3E50"/>
      <name val="Arial"/>
    </font>
    <font>
      <b/>
      <sz val="11.0"/>
      <color rgb="FFFFFFFF"/>
      <name val="Arial"/>
    </font>
    <font>
      <b/>
      <sz val="12.0"/>
      <color rgb="FFC0392B"/>
      <name val="Arial"/>
    </font>
    <font>
      <b/>
      <sz val="11.0"/>
      <color rgb="FF000000"/>
      <name val="Arial"/>
    </font>
    <font>
      <b/>
      <i/>
      <sz val="12.0"/>
      <color rgb="FFC0392B"/>
      <name val="Arial"/>
    </font>
    <font>
      <i/>
      <sz val="7.0"/>
      <color rgb="FF888888"/>
      <name val="Arial"/>
    </font>
    <font>
      <b/>
      <sz val="18.0"/>
      <color rgb="FFFFFFFF"/>
      <name val="Arial"/>
    </font>
    <font>
      <b/>
      <sz val="12.0"/>
      <color rgb="FFFFFFFF"/>
      <name val="Arial"/>
    </font>
    <font>
      <b/>
      <sz val="10.0"/>
      <color rgb="FF2C3E50"/>
      <name val="Arial"/>
    </font>
    <font>
      <i/>
      <sz val="9.0"/>
      <color rgb="FF7F8C8D"/>
      <name val="Arial"/>
    </font>
    <font>
      <sz val="11.0"/>
      <color rgb="FF00008B"/>
      <name val="Arial"/>
    </font>
    <font>
      <b/>
      <sz val="10.0"/>
      <color rgb="FFFFFFFF"/>
      <name val="Arial"/>
    </font>
    <font>
      <sz val="10.0"/>
      <color rgb="FF2C3E50"/>
      <name val="Arial"/>
    </font>
    <font>
      <sz val="11.0"/>
      <color rgb="FF000000"/>
      <name val="Arial"/>
    </font>
    <font>
      <b/>
      <sz val="13.0"/>
      <color rgb="FFFFFFFF"/>
      <name val="Arial"/>
    </font>
    <font>
      <b/>
      <sz val="13.0"/>
      <color rgb="FF000000"/>
      <name val="Arial"/>
    </font>
    <font>
      <i/>
      <sz val="9.0"/>
      <color rgb="FF888888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C0392B"/>
        <bgColor rgb="FFC0392B"/>
      </patternFill>
    </fill>
    <fill>
      <patternFill patternType="solid">
        <fgColor rgb="FFFFF9C4"/>
        <bgColor rgb="FFFFF9C4"/>
      </patternFill>
    </fill>
    <fill>
      <patternFill patternType="solid">
        <fgColor rgb="FFEBF5FB"/>
        <bgColor rgb="FFEBF5FB"/>
      </patternFill>
    </fill>
    <fill>
      <patternFill patternType="solid">
        <fgColor rgb="FFD5D8DC"/>
        <bgColor rgb="FFD5D8DC"/>
      </patternFill>
    </fill>
    <fill>
      <patternFill patternType="solid">
        <fgColor rgb="FFF2F2F2"/>
        <bgColor rgb="FFF2F2F2"/>
      </patternFill>
    </fill>
    <fill>
      <patternFill patternType="solid">
        <fgColor rgb="FF7F8C8D"/>
        <bgColor rgb="FF7F8C8D"/>
      </patternFill>
    </fill>
  </fills>
  <borders count="21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medium">
        <color rgb="FFC0392B"/>
      </top>
      <bottom/>
    </border>
    <border>
      <left/>
      <top/>
      <bottom style="medium">
        <color rgb="FFC0392B"/>
      </bottom>
    </border>
    <border>
      <top/>
      <bottom style="medium">
        <color rgb="FFC0392B"/>
      </bottom>
    </border>
    <border>
      <right/>
      <top/>
      <bottom style="medium">
        <color rgb="FFC0392B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9" fillId="2" fontId="8" numFmtId="0" xfId="0" applyAlignment="1" applyBorder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9" fillId="3" fontId="8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10" fillId="4" fontId="10" numFmtId="0" xfId="0" applyAlignment="1" applyBorder="1" applyFill="1" applyFont="1">
      <alignment horizontal="center" vertical="center"/>
    </xf>
    <xf borderId="10" fillId="5" fontId="10" numFmtId="0" xfId="0" applyAlignment="1" applyBorder="1" applyFill="1" applyFont="1">
      <alignment horizontal="center" vertical="center"/>
    </xf>
    <xf borderId="10" fillId="6" fontId="10" numFmtId="0" xfId="0" applyAlignment="1" applyBorder="1" applyFill="1" applyFont="1">
      <alignment horizontal="center" vertical="center"/>
    </xf>
    <xf borderId="10" fillId="2" fontId="8" numFmtId="0" xfId="0" applyAlignment="1" applyBorder="1" applyFont="1">
      <alignment horizontal="center" vertical="center"/>
    </xf>
    <xf borderId="0" fillId="0" fontId="11" numFmtId="0" xfId="0" applyAlignment="1" applyFont="1">
      <alignment horizontal="left" vertical="center"/>
    </xf>
    <xf borderId="11" fillId="7" fontId="1" numFmtId="0" xfId="0" applyBorder="1" applyFill="1" applyFont="1"/>
    <xf borderId="9" fillId="7" fontId="1" numFmtId="0" xfId="0" applyBorder="1" applyFont="1"/>
    <xf borderId="9" fillId="7" fontId="12" numFmtId="0" xfId="0" applyAlignment="1" applyBorder="1" applyFont="1">
      <alignment horizontal="left" vertical="center"/>
    </xf>
    <xf borderId="9" fillId="7" fontId="1" numFmtId="0" xfId="0" applyAlignment="1" applyBorder="1" applyFont="1">
      <alignment horizontal="right"/>
    </xf>
    <xf borderId="1" fillId="2" fontId="13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left" vertical="center"/>
    </xf>
    <xf borderId="13" fillId="0" fontId="3" numFmtId="0" xfId="0" applyBorder="1" applyFont="1"/>
    <xf borderId="14" fillId="0" fontId="3" numFmtId="0" xfId="0" applyBorder="1" applyFont="1"/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shrinkToFit="0" vertical="center" wrapText="1"/>
    </xf>
    <xf borderId="15" fillId="4" fontId="17" numFmtId="0" xfId="0" applyAlignment="1" applyBorder="1" applyFont="1">
      <alignment horizontal="left" shrinkToFit="0" vertical="center" wrapText="1"/>
    </xf>
    <xf borderId="16" fillId="0" fontId="3" numFmtId="0" xfId="0" applyBorder="1" applyFont="1"/>
    <xf borderId="17" fillId="0" fontId="3" numFmtId="0" xfId="0" applyBorder="1" applyFont="1"/>
    <xf borderId="15" fillId="4" fontId="17" numFmtId="164" xfId="0" applyAlignment="1" applyBorder="1" applyFont="1" applyNumberFormat="1">
      <alignment horizontal="left" shrinkToFit="0" vertical="center" wrapText="1"/>
    </xf>
    <xf borderId="18" fillId="6" fontId="7" numFmtId="0" xfId="0" applyAlignment="1" applyBorder="1" applyFont="1">
      <alignment horizontal="left" vertical="center"/>
    </xf>
    <xf borderId="19" fillId="0" fontId="3" numFmtId="0" xfId="0" applyBorder="1" applyFont="1"/>
    <xf borderId="20" fillId="0" fontId="3" numFmtId="0" xfId="0" applyBorder="1" applyFont="1"/>
    <xf borderId="10" fillId="8" fontId="18" numFmtId="0" xfId="0" applyAlignment="1" applyBorder="1" applyFill="1" applyFont="1">
      <alignment horizontal="center" vertical="center"/>
    </xf>
    <xf borderId="10" fillId="0" fontId="19" numFmtId="0" xfId="0" applyAlignment="1" applyBorder="1" applyFont="1">
      <alignment horizontal="left" vertical="center"/>
    </xf>
    <xf borderId="10" fillId="4" fontId="17" numFmtId="164" xfId="0" applyAlignment="1" applyBorder="1" applyFont="1" applyNumberFormat="1">
      <alignment horizontal="right" vertical="center"/>
    </xf>
    <xf borderId="10" fillId="5" fontId="20" numFmtId="165" xfId="0" applyAlignment="1" applyBorder="1" applyFont="1" applyNumberFormat="1">
      <alignment horizontal="right" vertical="center"/>
    </xf>
    <xf borderId="10" fillId="2" fontId="8" numFmtId="0" xfId="0" applyAlignment="1" applyBorder="1" applyFont="1">
      <alignment horizontal="left" vertical="center"/>
    </xf>
    <xf borderId="10" fillId="5" fontId="20" numFmtId="164" xfId="0" applyAlignment="1" applyBorder="1" applyFont="1" applyNumberFormat="1">
      <alignment horizontal="right" vertical="center"/>
    </xf>
    <xf borderId="10" fillId="0" fontId="15" numFmtId="0" xfId="0" applyAlignment="1" applyBorder="1" applyFont="1">
      <alignment horizontal="left" vertical="center"/>
    </xf>
    <xf borderId="10" fillId="0" fontId="16" numFmtId="0" xfId="0" applyAlignment="1" applyBorder="1" applyFont="1">
      <alignment horizontal="left" vertical="center"/>
    </xf>
    <xf borderId="0" fillId="0" fontId="16" numFmtId="0" xfId="0" applyAlignment="1" applyFont="1">
      <alignment horizontal="left" vertical="center"/>
    </xf>
    <xf borderId="10" fillId="8" fontId="8" numFmtId="0" xfId="0" applyAlignment="1" applyBorder="1" applyFont="1">
      <alignment horizontal="left" vertical="center"/>
    </xf>
    <xf borderId="9" fillId="3" fontId="21" numFmtId="0" xfId="0" applyAlignment="1" applyBorder="1" applyFont="1">
      <alignment horizontal="center" vertical="center"/>
    </xf>
    <xf borderId="10" fillId="4" fontId="22" numFmtId="164" xfId="0" applyAlignment="1" applyBorder="1" applyFont="1" applyNumberFormat="1">
      <alignment horizontal="right" vertical="center"/>
    </xf>
    <xf borderId="10" fillId="0" fontId="16" numFmtId="0" xfId="0" applyAlignment="1" applyBorder="1" applyFont="1">
      <alignment horizontal="left" shrinkToFit="0" vertical="center" wrapText="1"/>
    </xf>
    <xf borderId="10" fillId="4" fontId="17" numFmtId="17" xfId="0" applyAlignment="1" applyBorder="1" applyFont="1" applyNumberFormat="1">
      <alignment horizontal="left" shrinkToFit="0" vertical="center" wrapText="1"/>
    </xf>
    <xf borderId="10" fillId="4" fontId="17" numFmtId="0" xfId="0" applyAlignment="1" applyBorder="1" applyFont="1">
      <alignment horizontal="left" shrinkToFit="0" vertical="center" wrapText="1"/>
    </xf>
    <xf borderId="10" fillId="3" fontId="8" numFmtId="0" xfId="0" applyAlignment="1" applyBorder="1" applyFont="1">
      <alignment horizontal="center" vertical="center"/>
    </xf>
    <xf borderId="18" fillId="2" fontId="23" numFmtId="0" xfId="0" applyAlignment="1" applyBorder="1" applyFont="1">
      <alignment horizontal="center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7239000" cy="2667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61</xdr:row>
      <xdr:rowOff>180975</xdr:rowOff>
    </xdr:from>
    <xdr:ext cx="1266825" cy="1333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934450" cy="3286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952500</xdr:colOff>
      <xdr:row>117</xdr:row>
      <xdr:rowOff>28575</xdr:rowOff>
    </xdr:from>
    <xdr:ext cx="1266825" cy="1323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43900" cy="2933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1104900</xdr:colOff>
      <xdr:row>98</xdr:row>
      <xdr:rowOff>123825</xdr:rowOff>
    </xdr:from>
    <xdr:ext cx="1266825" cy="1314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55.0"/>
    <col customWidth="1" min="4" max="4" width="20.0"/>
    <col customWidth="1" min="5" max="26" width="8.71"/>
  </cols>
  <sheetData>
    <row r="1">
      <c r="A1" s="1"/>
    </row>
    <row r="16" ht="18.0" customHeight="1">
      <c r="A16" s="2" t="s">
        <v>0</v>
      </c>
      <c r="B16" s="3"/>
      <c r="C16" s="3"/>
      <c r="D16" s="4"/>
    </row>
    <row r="17" ht="18.0" customHeight="1">
      <c r="A17" s="5"/>
      <c r="D17" s="6"/>
    </row>
    <row r="18" ht="18.0" customHeight="1">
      <c r="A18" s="5"/>
      <c r="D18" s="6"/>
    </row>
    <row r="19" ht="18.0" customHeight="1">
      <c r="A19" s="5"/>
      <c r="D19" s="6"/>
    </row>
    <row r="20" ht="18.0" customHeight="1">
      <c r="A20" s="5"/>
      <c r="D20" s="6"/>
    </row>
    <row r="21" ht="18.0" customHeight="1">
      <c r="A21" s="7"/>
      <c r="B21" s="8"/>
      <c r="C21" s="8"/>
      <c r="D21" s="9"/>
    </row>
    <row r="22" ht="9.75" customHeight="1"/>
    <row r="23" ht="15.75" customHeight="1">
      <c r="B23" s="10" t="s">
        <v>1</v>
      </c>
    </row>
    <row r="24" ht="18.0" customHeight="1">
      <c r="B24" s="11" t="s">
        <v>2</v>
      </c>
    </row>
    <row r="25" ht="18.0" customHeight="1">
      <c r="B25" s="12" t="s">
        <v>3</v>
      </c>
    </row>
    <row r="26" ht="18.0" customHeight="1">
      <c r="B26" s="12" t="s">
        <v>4</v>
      </c>
    </row>
    <row r="27" ht="18.0" customHeight="1">
      <c r="B27" s="12" t="s">
        <v>5</v>
      </c>
    </row>
    <row r="28" ht="18.0" customHeight="1">
      <c r="B28" s="12"/>
    </row>
    <row r="29" ht="18.0" customHeight="1">
      <c r="B29" s="13" t="s">
        <v>6</v>
      </c>
    </row>
    <row r="30" ht="21.75" customHeight="1">
      <c r="B30" s="14" t="s">
        <v>7</v>
      </c>
      <c r="C30" s="15" t="s">
        <v>8</v>
      </c>
    </row>
    <row r="31" ht="30.0" customHeight="1">
      <c r="B31" s="14" t="s">
        <v>9</v>
      </c>
      <c r="C31" s="15" t="s">
        <v>10</v>
      </c>
    </row>
    <row r="32" ht="40.5" customHeight="1">
      <c r="B32" s="14" t="s">
        <v>11</v>
      </c>
      <c r="C32" s="15" t="s">
        <v>12</v>
      </c>
    </row>
    <row r="33" ht="12.0" customHeight="1"/>
    <row r="34" ht="19.5" customHeight="1">
      <c r="B34" s="10" t="s">
        <v>13</v>
      </c>
    </row>
    <row r="35" ht="38.25" customHeight="1">
      <c r="B35" s="16" t="s">
        <v>14</v>
      </c>
      <c r="C35" s="15" t="s">
        <v>15</v>
      </c>
    </row>
    <row r="36" ht="33.75" customHeight="1">
      <c r="B36" s="16" t="s">
        <v>16</v>
      </c>
      <c r="C36" s="15" t="s">
        <v>17</v>
      </c>
    </row>
    <row r="37" ht="31.5" customHeight="1">
      <c r="B37" s="16" t="s">
        <v>18</v>
      </c>
      <c r="C37" s="15" t="s">
        <v>19</v>
      </c>
    </row>
    <row r="38" ht="43.5" customHeight="1">
      <c r="B38" s="16" t="s">
        <v>20</v>
      </c>
      <c r="C38" s="15" t="s">
        <v>21</v>
      </c>
    </row>
    <row r="39" ht="33.0" customHeight="1">
      <c r="B39" s="16" t="s">
        <v>22</v>
      </c>
      <c r="C39" s="15" t="s">
        <v>23</v>
      </c>
    </row>
    <row r="40" ht="34.5" customHeight="1">
      <c r="B40" s="16" t="s">
        <v>24</v>
      </c>
      <c r="C40" s="15" t="s">
        <v>25</v>
      </c>
    </row>
    <row r="41" ht="36.0" customHeight="1">
      <c r="B41" s="16" t="s">
        <v>26</v>
      </c>
      <c r="C41" s="15" t="s">
        <v>27</v>
      </c>
    </row>
    <row r="42" ht="38.25" customHeight="1">
      <c r="B42" s="16" t="s">
        <v>28</v>
      </c>
      <c r="C42" s="15" t="s">
        <v>29</v>
      </c>
    </row>
    <row r="43" ht="30.75" customHeight="1">
      <c r="B43" s="16" t="s">
        <v>30</v>
      </c>
      <c r="C43" s="15" t="s">
        <v>31</v>
      </c>
    </row>
    <row r="44" ht="37.5" customHeight="1">
      <c r="B44" s="16" t="s">
        <v>32</v>
      </c>
      <c r="C44" s="15" t="s">
        <v>33</v>
      </c>
    </row>
    <row r="45" ht="12.0" customHeight="1"/>
    <row r="46" ht="19.5" customHeight="1">
      <c r="B46" s="10" t="s">
        <v>34</v>
      </c>
    </row>
    <row r="47" ht="35.25" customHeight="1">
      <c r="B47" s="17" t="s">
        <v>35</v>
      </c>
      <c r="C47" s="15" t="s">
        <v>36</v>
      </c>
    </row>
    <row r="48" ht="37.5" customHeight="1">
      <c r="B48" s="17" t="s">
        <v>35</v>
      </c>
      <c r="C48" s="15" t="s">
        <v>37</v>
      </c>
    </row>
    <row r="49" ht="30.0" customHeight="1">
      <c r="B49" s="17" t="s">
        <v>35</v>
      </c>
      <c r="C49" s="15" t="s">
        <v>38</v>
      </c>
    </row>
    <row r="50" ht="27.75" customHeight="1">
      <c r="B50" s="17" t="s">
        <v>35</v>
      </c>
      <c r="C50" s="15" t="s">
        <v>39</v>
      </c>
    </row>
    <row r="51" ht="18.0" customHeight="1">
      <c r="B51" s="17" t="s">
        <v>35</v>
      </c>
      <c r="C51" s="15" t="s">
        <v>40</v>
      </c>
    </row>
    <row r="52" ht="18.0" customHeight="1">
      <c r="B52" s="17" t="s">
        <v>35</v>
      </c>
      <c r="C52" s="15" t="s">
        <v>41</v>
      </c>
    </row>
    <row r="53" ht="12.0" customHeight="1"/>
    <row r="54" ht="19.5" customHeight="1">
      <c r="B54" s="10" t="s">
        <v>42</v>
      </c>
    </row>
    <row r="55" ht="19.5" customHeight="1">
      <c r="B55" s="18" t="s">
        <v>43</v>
      </c>
      <c r="C55" s="15" t="s">
        <v>44</v>
      </c>
    </row>
    <row r="56" ht="19.5" customHeight="1">
      <c r="B56" s="19" t="s">
        <v>45</v>
      </c>
      <c r="C56" s="15" t="s">
        <v>46</v>
      </c>
    </row>
    <row r="57" ht="19.5" customHeight="1">
      <c r="B57" s="20" t="s">
        <v>47</v>
      </c>
      <c r="C57" s="15" t="s">
        <v>48</v>
      </c>
    </row>
    <row r="58" ht="19.5" customHeight="1">
      <c r="B58" s="21" t="s">
        <v>49</v>
      </c>
      <c r="C58" s="15" t="s">
        <v>50</v>
      </c>
    </row>
    <row r="59" ht="12.0" customHeight="1"/>
    <row r="60" ht="15.75" customHeight="1">
      <c r="B60" s="22" t="s">
        <v>51</v>
      </c>
    </row>
    <row r="61" ht="15.75" customHeight="1"/>
    <row r="62" ht="15.75" customHeight="1"/>
    <row r="63" ht="13.5" customHeight="1">
      <c r="A63" s="23"/>
      <c r="B63" s="23"/>
      <c r="C63" s="23"/>
      <c r="D63" s="23"/>
    </row>
    <row r="64" ht="13.5" customHeight="1">
      <c r="A64" s="24"/>
      <c r="B64" s="25"/>
      <c r="C64" s="26" t="s">
        <v>52</v>
      </c>
      <c r="D64" s="24"/>
    </row>
    <row r="65" ht="13.5" customHeight="1">
      <c r="A65" s="24"/>
      <c r="B65" s="24"/>
      <c r="C65" s="24"/>
      <c r="D65" s="24"/>
    </row>
    <row r="66" ht="13.5" customHeight="1">
      <c r="A66" s="24"/>
      <c r="B66" s="24"/>
      <c r="C66" s="24"/>
      <c r="D66" s="24"/>
    </row>
    <row r="67" ht="13.5" customHeight="1">
      <c r="A67" s="24"/>
      <c r="B67" s="24"/>
      <c r="C67" s="24"/>
      <c r="D67" s="24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5"/>
    <mergeCell ref="A16:D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24.86"/>
    <col customWidth="1" min="4" max="4" width="23.86"/>
    <col customWidth="1" min="5" max="7" width="18.0"/>
    <col customWidth="1" min="8" max="26" width="8.71"/>
  </cols>
  <sheetData>
    <row r="1">
      <c r="B1" s="1"/>
    </row>
    <row r="19" ht="49.5" customHeight="1">
      <c r="A19" s="27" t="s">
        <v>53</v>
      </c>
      <c r="B19" s="3"/>
      <c r="C19" s="3"/>
      <c r="D19" s="3"/>
      <c r="E19" s="3"/>
      <c r="F19" s="3"/>
      <c r="G19" s="4"/>
    </row>
    <row r="20">
      <c r="A20" s="5"/>
      <c r="G20" s="6"/>
    </row>
    <row r="21" ht="15.75" customHeight="1">
      <c r="A21" s="5"/>
      <c r="G21" s="6"/>
    </row>
    <row r="22" ht="15.75" customHeight="1">
      <c r="A22" s="7"/>
      <c r="B22" s="8"/>
      <c r="C22" s="8"/>
      <c r="D22" s="8"/>
      <c r="E22" s="8"/>
      <c r="F22" s="8"/>
      <c r="G22" s="9"/>
    </row>
    <row r="23" ht="7.5" customHeight="1"/>
    <row r="24" ht="21.75" customHeight="1">
      <c r="A24" s="28" t="s">
        <v>54</v>
      </c>
      <c r="B24" s="29"/>
      <c r="C24" s="29"/>
      <c r="D24" s="29"/>
      <c r="E24" s="29"/>
      <c r="F24" s="29"/>
      <c r="G24" s="30"/>
    </row>
    <row r="25" ht="18.0" customHeight="1">
      <c r="B25" s="31" t="s">
        <v>55</v>
      </c>
      <c r="C25" s="32" t="s">
        <v>56</v>
      </c>
      <c r="D25" s="33" t="s">
        <v>57</v>
      </c>
      <c r="E25" s="34"/>
      <c r="F25" s="34"/>
      <c r="G25" s="35"/>
    </row>
    <row r="26" ht="25.5" customHeight="1">
      <c r="B26" s="31" t="s">
        <v>58</v>
      </c>
      <c r="C26" s="32" t="s">
        <v>59</v>
      </c>
      <c r="D26" s="33">
        <v>29.0</v>
      </c>
      <c r="E26" s="34"/>
      <c r="F26" s="34"/>
      <c r="G26" s="35"/>
    </row>
    <row r="27" ht="27.0" customHeight="1">
      <c r="B27" s="31" t="s">
        <v>60</v>
      </c>
      <c r="C27" s="32" t="s">
        <v>61</v>
      </c>
      <c r="D27" s="33" t="s">
        <v>62</v>
      </c>
      <c r="E27" s="34"/>
      <c r="F27" s="34"/>
      <c r="G27" s="35"/>
    </row>
    <row r="28" ht="29.25" customHeight="1">
      <c r="B28" s="31" t="s">
        <v>63</v>
      </c>
      <c r="C28" s="32" t="s">
        <v>64</v>
      </c>
      <c r="D28" s="33" t="s">
        <v>65</v>
      </c>
      <c r="E28" s="34"/>
      <c r="F28" s="34"/>
      <c r="G28" s="35"/>
    </row>
    <row r="29" ht="33.0" customHeight="1">
      <c r="B29" s="31" t="s">
        <v>66</v>
      </c>
      <c r="C29" s="32" t="s">
        <v>67</v>
      </c>
      <c r="D29" s="33">
        <v>3.0</v>
      </c>
      <c r="E29" s="34"/>
      <c r="F29" s="34"/>
      <c r="G29" s="35"/>
    </row>
    <row r="30" ht="18.0" customHeight="1">
      <c r="B30" s="31" t="s">
        <v>68</v>
      </c>
      <c r="C30" s="32" t="s">
        <v>69</v>
      </c>
      <c r="D30" s="36">
        <v>350000.0</v>
      </c>
      <c r="E30" s="34"/>
      <c r="F30" s="34"/>
      <c r="G30" s="35"/>
    </row>
    <row r="31" ht="7.5" customHeight="1"/>
    <row r="32" ht="21.75" customHeight="1">
      <c r="A32" s="28" t="s">
        <v>70</v>
      </c>
      <c r="B32" s="29"/>
      <c r="C32" s="29"/>
      <c r="D32" s="29"/>
      <c r="E32" s="29"/>
      <c r="F32" s="29"/>
      <c r="G32" s="30"/>
    </row>
    <row r="33" ht="18.0" customHeight="1">
      <c r="A33" s="37" t="s">
        <v>71</v>
      </c>
      <c r="B33" s="38"/>
      <c r="C33" s="38"/>
      <c r="D33" s="38"/>
      <c r="E33" s="38"/>
      <c r="F33" s="38"/>
      <c r="G33" s="39"/>
    </row>
    <row r="34" ht="18.0" customHeight="1">
      <c r="B34" s="40" t="s">
        <v>72</v>
      </c>
      <c r="C34" s="40" t="s">
        <v>73</v>
      </c>
      <c r="D34" s="40" t="s">
        <v>74</v>
      </c>
      <c r="E34" s="40" t="s">
        <v>75</v>
      </c>
    </row>
    <row r="35" ht="19.5" customHeight="1">
      <c r="B35" s="41" t="s">
        <v>76</v>
      </c>
      <c r="C35" s="42">
        <v>35000.0</v>
      </c>
      <c r="D35" s="43">
        <f>IFERROR(C35/D30,"-")</f>
        <v>0.1</v>
      </c>
      <c r="E35" s="33" t="s">
        <v>77</v>
      </c>
      <c r="F35" s="34"/>
      <c r="G35" s="35"/>
    </row>
    <row r="36" ht="19.5" customHeight="1">
      <c r="B36" s="41" t="s">
        <v>78</v>
      </c>
      <c r="C36" s="42">
        <v>135000.0</v>
      </c>
      <c r="D36" s="43">
        <f>IFERROR(C36/D30,"-")</f>
        <v>0.3857142857</v>
      </c>
      <c r="E36" s="33" t="s">
        <v>79</v>
      </c>
      <c r="F36" s="34"/>
      <c r="G36" s="35"/>
    </row>
    <row r="37" ht="19.5" customHeight="1">
      <c r="B37" s="41" t="s">
        <v>80</v>
      </c>
      <c r="C37" s="42">
        <v>50000.0</v>
      </c>
      <c r="D37" s="43">
        <f>IFERROR(C37/D30,"-")</f>
        <v>0.1428571429</v>
      </c>
      <c r="E37" s="33" t="s">
        <v>81</v>
      </c>
      <c r="F37" s="34"/>
      <c r="G37" s="35"/>
    </row>
    <row r="38" ht="19.5" customHeight="1">
      <c r="B38" s="41" t="s">
        <v>82</v>
      </c>
      <c r="C38" s="42">
        <v>70000.0</v>
      </c>
      <c r="D38" s="43">
        <f>IFERROR(C38/D30,"-")</f>
        <v>0.2</v>
      </c>
      <c r="E38" s="33" t="s">
        <v>83</v>
      </c>
      <c r="F38" s="34"/>
      <c r="G38" s="35"/>
    </row>
    <row r="39" ht="19.5" customHeight="1">
      <c r="B39" s="41" t="s">
        <v>84</v>
      </c>
      <c r="C39" s="42">
        <v>60000.0</v>
      </c>
      <c r="D39" s="43">
        <f>IFERROR(C39/D30,"-")</f>
        <v>0.1714285714</v>
      </c>
      <c r="E39" s="33" t="s">
        <v>85</v>
      </c>
      <c r="F39" s="34"/>
      <c r="G39" s="35"/>
    </row>
    <row r="40" ht="21.75" customHeight="1">
      <c r="B40" s="44" t="s">
        <v>86</v>
      </c>
      <c r="C40" s="45">
        <f>SUM(C35:C39)</f>
        <v>350000</v>
      </c>
      <c r="D40" s="43">
        <f>IFERROR(C40/D30,"-")</f>
        <v>1</v>
      </c>
    </row>
    <row r="41" ht="19.5" customHeight="1">
      <c r="B41" s="46" t="s">
        <v>87</v>
      </c>
      <c r="C41" s="45">
        <f>D30-C40</f>
        <v>0</v>
      </c>
      <c r="D41" s="43">
        <f>IFERROR((D30-C40)/D30,"-")</f>
        <v>0</v>
      </c>
      <c r="E41" s="47" t="s">
        <v>88</v>
      </c>
    </row>
    <row r="42" ht="7.5" customHeight="1"/>
    <row r="43" ht="21.75" customHeight="1">
      <c r="A43" s="28" t="s">
        <v>89</v>
      </c>
      <c r="B43" s="29"/>
      <c r="C43" s="29"/>
      <c r="D43" s="29"/>
      <c r="E43" s="29"/>
      <c r="F43" s="29"/>
      <c r="G43" s="30"/>
    </row>
    <row r="44" ht="18.0" customHeight="1">
      <c r="A44" s="37" t="s">
        <v>90</v>
      </c>
      <c r="B44" s="38"/>
      <c r="C44" s="38"/>
      <c r="D44" s="38"/>
      <c r="E44" s="38"/>
      <c r="F44" s="38"/>
      <c r="G44" s="39"/>
    </row>
    <row r="45" ht="18.0" customHeight="1">
      <c r="B45" s="40" t="s">
        <v>91</v>
      </c>
      <c r="C45" s="40" t="s">
        <v>92</v>
      </c>
      <c r="D45" s="40" t="s">
        <v>93</v>
      </c>
      <c r="E45" s="40" t="s">
        <v>94</v>
      </c>
    </row>
    <row r="46" ht="19.5" customHeight="1">
      <c r="B46" s="41" t="s">
        <v>95</v>
      </c>
      <c r="C46" s="42">
        <v>30000.0</v>
      </c>
      <c r="D46" s="45">
        <f t="shared" ref="D46:D51" si="1">C46*60</f>
        <v>1800000</v>
      </c>
      <c r="E46" s="33" t="s">
        <v>96</v>
      </c>
      <c r="F46" s="34"/>
      <c r="G46" s="35"/>
    </row>
    <row r="47" ht="19.5" customHeight="1">
      <c r="B47" s="41" t="s">
        <v>97</v>
      </c>
      <c r="C47" s="42">
        <v>20000.0</v>
      </c>
      <c r="D47" s="45">
        <f t="shared" si="1"/>
        <v>1200000</v>
      </c>
      <c r="E47" s="33" t="s">
        <v>98</v>
      </c>
      <c r="F47" s="34"/>
      <c r="G47" s="35"/>
    </row>
    <row r="48" ht="19.5" customHeight="1">
      <c r="B48" s="41" t="s">
        <v>99</v>
      </c>
      <c r="C48" s="42">
        <v>10000.0</v>
      </c>
      <c r="D48" s="45">
        <f t="shared" si="1"/>
        <v>600000</v>
      </c>
      <c r="E48" s="33" t="s">
        <v>100</v>
      </c>
      <c r="F48" s="34"/>
      <c r="G48" s="35"/>
    </row>
    <row r="49" ht="19.5" customHeight="1">
      <c r="B49" s="41" t="s">
        <v>101</v>
      </c>
      <c r="C49" s="42">
        <v>10000.0</v>
      </c>
      <c r="D49" s="45">
        <f t="shared" si="1"/>
        <v>600000</v>
      </c>
      <c r="E49" s="33" t="s">
        <v>102</v>
      </c>
      <c r="F49" s="34"/>
      <c r="G49" s="35"/>
    </row>
    <row r="50" ht="19.5" customHeight="1">
      <c r="B50" s="41" t="s">
        <v>103</v>
      </c>
      <c r="C50" s="42">
        <v>0.0</v>
      </c>
      <c r="D50" s="45">
        <f t="shared" si="1"/>
        <v>0</v>
      </c>
      <c r="E50" s="33" t="s">
        <v>104</v>
      </c>
      <c r="F50" s="34"/>
      <c r="G50" s="35"/>
    </row>
    <row r="51" ht="21.75" customHeight="1">
      <c r="B51" s="44" t="s">
        <v>105</v>
      </c>
      <c r="C51" s="45">
        <f>SUM(C46:C50)</f>
        <v>70000</v>
      </c>
      <c r="D51" s="45">
        <f t="shared" si="1"/>
        <v>4200000</v>
      </c>
    </row>
    <row r="52" ht="7.5" customHeight="1"/>
    <row r="53" ht="21.75" customHeight="1">
      <c r="A53" s="28" t="s">
        <v>106</v>
      </c>
      <c r="B53" s="29"/>
      <c r="C53" s="29"/>
      <c r="D53" s="29"/>
      <c r="E53" s="29"/>
      <c r="F53" s="29"/>
      <c r="G53" s="30"/>
    </row>
    <row r="54" ht="18.0" customHeight="1">
      <c r="A54" s="37" t="s">
        <v>107</v>
      </c>
      <c r="B54" s="38"/>
      <c r="C54" s="38"/>
      <c r="D54" s="38"/>
      <c r="E54" s="38"/>
      <c r="F54" s="38"/>
      <c r="G54" s="39"/>
    </row>
    <row r="55" ht="18.0" customHeight="1">
      <c r="B55" s="40" t="s">
        <v>108</v>
      </c>
      <c r="C55" s="40" t="s">
        <v>92</v>
      </c>
      <c r="D55" s="40" t="s">
        <v>93</v>
      </c>
      <c r="E55" s="40" t="s">
        <v>109</v>
      </c>
    </row>
    <row r="56" ht="19.5" customHeight="1">
      <c r="B56" s="41" t="s">
        <v>110</v>
      </c>
      <c r="C56" s="42">
        <v>20000.0</v>
      </c>
      <c r="D56" s="45">
        <f t="shared" ref="D56:D62" si="2">C56*60</f>
        <v>1200000</v>
      </c>
      <c r="E56" s="33" t="s">
        <v>111</v>
      </c>
      <c r="F56" s="34"/>
      <c r="G56" s="35"/>
    </row>
    <row r="57" ht="19.5" customHeight="1">
      <c r="B57" s="41" t="s">
        <v>112</v>
      </c>
      <c r="C57" s="42">
        <v>10000.0</v>
      </c>
      <c r="D57" s="45">
        <f t="shared" si="2"/>
        <v>600000</v>
      </c>
      <c r="E57" s="33" t="s">
        <v>113</v>
      </c>
      <c r="F57" s="34"/>
      <c r="G57" s="35"/>
    </row>
    <row r="58" ht="19.5" customHeight="1">
      <c r="B58" s="41" t="s">
        <v>114</v>
      </c>
      <c r="C58" s="42">
        <v>20000.0</v>
      </c>
      <c r="D58" s="45">
        <f t="shared" si="2"/>
        <v>1200000</v>
      </c>
      <c r="E58" s="33" t="s">
        <v>115</v>
      </c>
      <c r="F58" s="34"/>
      <c r="G58" s="35"/>
    </row>
    <row r="59" ht="19.5" customHeight="1">
      <c r="B59" s="41" t="s">
        <v>116</v>
      </c>
      <c r="C59" s="42">
        <v>10000.0</v>
      </c>
      <c r="D59" s="45">
        <f t="shared" si="2"/>
        <v>600000</v>
      </c>
      <c r="E59" s="33" t="s">
        <v>117</v>
      </c>
      <c r="F59" s="34"/>
      <c r="G59" s="35"/>
    </row>
    <row r="60" ht="19.5" customHeight="1">
      <c r="B60" s="41" t="s">
        <v>118</v>
      </c>
      <c r="C60" s="42">
        <v>0.0</v>
      </c>
      <c r="D60" s="45">
        <f t="shared" si="2"/>
        <v>0</v>
      </c>
      <c r="E60" s="33" t="s">
        <v>119</v>
      </c>
      <c r="F60" s="34"/>
      <c r="G60" s="35"/>
    </row>
    <row r="61" ht="19.5" customHeight="1">
      <c r="B61" s="41" t="s">
        <v>120</v>
      </c>
      <c r="C61" s="42">
        <v>0.0</v>
      </c>
      <c r="D61" s="45">
        <f t="shared" si="2"/>
        <v>0</v>
      </c>
      <c r="E61" s="33" t="s">
        <v>121</v>
      </c>
      <c r="F61" s="34"/>
      <c r="G61" s="35"/>
    </row>
    <row r="62" ht="21.75" customHeight="1">
      <c r="B62" s="44" t="s">
        <v>122</v>
      </c>
      <c r="C62" s="45">
        <f>SUM(C56:C61)</f>
        <v>60000</v>
      </c>
      <c r="D62" s="45">
        <f t="shared" si="2"/>
        <v>3600000</v>
      </c>
    </row>
    <row r="63" ht="7.5" customHeight="1"/>
    <row r="64" ht="21.75" customHeight="1">
      <c r="A64" s="28" t="s">
        <v>123</v>
      </c>
      <c r="B64" s="29"/>
      <c r="C64" s="29"/>
      <c r="D64" s="29"/>
      <c r="E64" s="29"/>
      <c r="F64" s="29"/>
      <c r="G64" s="30"/>
    </row>
    <row r="65" ht="18.0" customHeight="1">
      <c r="A65" s="37" t="s">
        <v>124</v>
      </c>
      <c r="B65" s="38"/>
      <c r="C65" s="38"/>
      <c r="D65" s="38"/>
      <c r="E65" s="38"/>
      <c r="F65" s="38"/>
      <c r="G65" s="39"/>
    </row>
    <row r="66" ht="18.0" customHeight="1">
      <c r="B66" s="40" t="s">
        <v>125</v>
      </c>
      <c r="C66" s="40" t="s">
        <v>126</v>
      </c>
      <c r="D66" s="40" t="s">
        <v>127</v>
      </c>
      <c r="E66" s="40" t="s">
        <v>128</v>
      </c>
    </row>
    <row r="67" ht="19.5" customHeight="1">
      <c r="B67" s="41" t="s">
        <v>129</v>
      </c>
      <c r="C67" s="42">
        <v>120000.0</v>
      </c>
      <c r="D67" s="42">
        <v>10000.0</v>
      </c>
      <c r="E67" s="33" t="s">
        <v>130</v>
      </c>
      <c r="F67" s="34"/>
      <c r="G67" s="35"/>
    </row>
    <row r="68" ht="19.5" customHeight="1">
      <c r="B68" s="41" t="s">
        <v>131</v>
      </c>
      <c r="C68" s="42">
        <v>0.0</v>
      </c>
      <c r="D68" s="42">
        <v>0.0</v>
      </c>
      <c r="E68" s="33"/>
      <c r="F68" s="34"/>
      <c r="G68" s="35"/>
    </row>
    <row r="69" ht="19.5" customHeight="1">
      <c r="B69" s="41" t="s">
        <v>132</v>
      </c>
      <c r="C69" s="42">
        <v>0.0</v>
      </c>
      <c r="D69" s="42">
        <v>0.0</v>
      </c>
      <c r="E69" s="33"/>
      <c r="F69" s="34"/>
      <c r="G69" s="35"/>
    </row>
    <row r="70" ht="19.5" customHeight="1">
      <c r="B70" s="41" t="s">
        <v>133</v>
      </c>
      <c r="C70" s="42">
        <v>0.0</v>
      </c>
      <c r="D70" s="42">
        <v>0.0</v>
      </c>
      <c r="E70" s="33"/>
      <c r="F70" s="34"/>
      <c r="G70" s="35"/>
    </row>
    <row r="71" ht="19.5" customHeight="1">
      <c r="B71" s="41" t="s">
        <v>134</v>
      </c>
      <c r="C71" s="42">
        <v>0.0</v>
      </c>
      <c r="D71" s="42">
        <v>0.0</v>
      </c>
      <c r="E71" s="33"/>
      <c r="F71" s="34"/>
      <c r="G71" s="35"/>
    </row>
    <row r="72" ht="21.75" customHeight="1">
      <c r="B72" s="44" t="s">
        <v>135</v>
      </c>
      <c r="C72" s="45">
        <f t="shared" ref="C72:D72" si="3">SUM(C67:C71)</f>
        <v>120000</v>
      </c>
      <c r="D72" s="45">
        <f t="shared" si="3"/>
        <v>10000</v>
      </c>
    </row>
    <row r="73" ht="7.5" customHeight="1"/>
    <row r="74" ht="21.75" customHeight="1">
      <c r="A74" s="28" t="s">
        <v>136</v>
      </c>
      <c r="B74" s="29"/>
      <c r="C74" s="29"/>
      <c r="D74" s="29"/>
      <c r="E74" s="29"/>
      <c r="F74" s="29"/>
      <c r="G74" s="30"/>
    </row>
    <row r="75" ht="15.75" customHeight="1">
      <c r="B75" s="48" t="s">
        <v>137</v>
      </c>
    </row>
    <row r="76" ht="18.0" customHeight="1">
      <c r="B76" s="40" t="s">
        <v>72</v>
      </c>
      <c r="C76" s="40" t="s">
        <v>138</v>
      </c>
      <c r="D76" s="40" t="s">
        <v>139</v>
      </c>
    </row>
    <row r="77" ht="19.5" customHeight="1">
      <c r="B77" s="41" t="s">
        <v>140</v>
      </c>
      <c r="C77" s="45">
        <f>C51</f>
        <v>70000</v>
      </c>
      <c r="D77" s="47" t="s">
        <v>141</v>
      </c>
    </row>
    <row r="78" ht="19.5" customHeight="1">
      <c r="B78" s="41" t="s">
        <v>142</v>
      </c>
      <c r="C78" s="45">
        <f>C62</f>
        <v>60000</v>
      </c>
      <c r="D78" s="47" t="s">
        <v>143</v>
      </c>
    </row>
    <row r="79" ht="19.5" customHeight="1">
      <c r="B79" s="41" t="s">
        <v>144</v>
      </c>
      <c r="C79" s="42">
        <v>0.0</v>
      </c>
      <c r="D79" s="47" t="s">
        <v>145</v>
      </c>
    </row>
    <row r="80" ht="19.5" customHeight="1">
      <c r="B80" s="41" t="s">
        <v>146</v>
      </c>
      <c r="C80" s="42">
        <v>0.0</v>
      </c>
      <c r="D80" s="47" t="s">
        <v>147</v>
      </c>
    </row>
    <row r="81" ht="21.75" customHeight="1">
      <c r="B81" s="49" t="s">
        <v>148</v>
      </c>
      <c r="C81" s="45">
        <f>SUM(C77:C80)</f>
        <v>130000</v>
      </c>
    </row>
    <row r="82" ht="19.5" customHeight="1">
      <c r="B82" s="41" t="s">
        <v>149</v>
      </c>
      <c r="C82" s="45">
        <f>C72</f>
        <v>120000</v>
      </c>
      <c r="D82" s="47" t="s">
        <v>150</v>
      </c>
    </row>
    <row r="83" ht="27.75" customHeight="1">
      <c r="B83" s="50" t="s">
        <v>151</v>
      </c>
      <c r="C83" s="51">
        <f>C81-C82</f>
        <v>10000</v>
      </c>
      <c r="D83" s="52" t="s">
        <v>152</v>
      </c>
    </row>
    <row r="84" ht="7.5" customHeight="1"/>
    <row r="85" ht="21.75" customHeight="1">
      <c r="A85" s="28" t="s">
        <v>153</v>
      </c>
      <c r="B85" s="29"/>
      <c r="C85" s="29"/>
      <c r="D85" s="29"/>
      <c r="E85" s="29"/>
      <c r="F85" s="29"/>
      <c r="G85" s="30"/>
    </row>
    <row r="86" ht="18.0" customHeight="1">
      <c r="A86" s="37" t="s">
        <v>154</v>
      </c>
      <c r="B86" s="38"/>
      <c r="C86" s="38"/>
      <c r="D86" s="38"/>
      <c r="E86" s="38"/>
      <c r="F86" s="38"/>
      <c r="G86" s="39"/>
    </row>
    <row r="87" ht="18.0" customHeight="1">
      <c r="B87" s="40" t="s">
        <v>155</v>
      </c>
      <c r="C87" s="40" t="s">
        <v>156</v>
      </c>
      <c r="D87" s="40" t="s">
        <v>157</v>
      </c>
    </row>
    <row r="88" ht="21.75" customHeight="1">
      <c r="B88" s="33" t="s">
        <v>158</v>
      </c>
      <c r="C88" s="35"/>
      <c r="D88" s="53">
        <v>46357.0</v>
      </c>
      <c r="E88" s="33" t="s">
        <v>159</v>
      </c>
      <c r="F88" s="34"/>
      <c r="G88" s="35"/>
    </row>
    <row r="89" ht="21.75" customHeight="1">
      <c r="B89" s="33" t="s">
        <v>160</v>
      </c>
      <c r="C89" s="35"/>
      <c r="D89" s="53">
        <v>46235.0</v>
      </c>
      <c r="E89" s="33" t="s">
        <v>161</v>
      </c>
      <c r="F89" s="34"/>
      <c r="G89" s="35"/>
    </row>
    <row r="90" ht="4.5" customHeight="1"/>
    <row r="91" ht="18.0" customHeight="1">
      <c r="A91" s="37" t="s">
        <v>162</v>
      </c>
      <c r="B91" s="38"/>
      <c r="C91" s="38"/>
      <c r="D91" s="38"/>
      <c r="E91" s="38"/>
      <c r="F91" s="38"/>
      <c r="G91" s="39"/>
    </row>
    <row r="92" ht="18.0" customHeight="1">
      <c r="B92" s="40" t="s">
        <v>155</v>
      </c>
      <c r="C92" s="40" t="s">
        <v>156</v>
      </c>
      <c r="D92" s="40" t="s">
        <v>157</v>
      </c>
    </row>
    <row r="93" ht="21.75" customHeight="1">
      <c r="B93" s="33" t="s">
        <v>163</v>
      </c>
      <c r="C93" s="35"/>
      <c r="D93" s="53">
        <v>47088.0</v>
      </c>
      <c r="E93" s="33" t="s">
        <v>164</v>
      </c>
      <c r="F93" s="34"/>
      <c r="G93" s="35"/>
    </row>
    <row r="94" ht="21.75" customHeight="1">
      <c r="B94" s="33" t="s">
        <v>165</v>
      </c>
      <c r="C94" s="35"/>
      <c r="D94" s="53">
        <v>47453.0</v>
      </c>
      <c r="E94" s="33" t="s">
        <v>166</v>
      </c>
      <c r="F94" s="34"/>
      <c r="G94" s="35"/>
    </row>
    <row r="95" ht="4.5" customHeight="1"/>
    <row r="96" ht="18.0" customHeight="1">
      <c r="A96" s="37" t="s">
        <v>167</v>
      </c>
      <c r="B96" s="38"/>
      <c r="C96" s="38"/>
      <c r="D96" s="38"/>
      <c r="E96" s="38"/>
      <c r="F96" s="38"/>
      <c r="G96" s="39"/>
    </row>
    <row r="97" ht="18.0" customHeight="1">
      <c r="B97" s="40" t="s">
        <v>155</v>
      </c>
      <c r="C97" s="40" t="s">
        <v>156</v>
      </c>
      <c r="D97" s="40" t="s">
        <v>157</v>
      </c>
    </row>
    <row r="98" ht="21.75" customHeight="1">
      <c r="B98" s="33" t="s">
        <v>168</v>
      </c>
      <c r="C98" s="35"/>
      <c r="D98" s="54" t="s">
        <v>169</v>
      </c>
      <c r="E98" s="33" t="s">
        <v>170</v>
      </c>
      <c r="F98" s="34"/>
      <c r="G98" s="35"/>
    </row>
    <row r="99" ht="21.75" customHeight="1">
      <c r="B99" s="33" t="s">
        <v>171</v>
      </c>
      <c r="C99" s="35"/>
      <c r="D99" s="54" t="s">
        <v>172</v>
      </c>
      <c r="E99" s="33" t="s">
        <v>173</v>
      </c>
      <c r="F99" s="34"/>
      <c r="G99" s="35"/>
    </row>
    <row r="100" ht="4.5" customHeight="1"/>
    <row r="101" ht="21.75" customHeight="1">
      <c r="A101" s="28" t="s">
        <v>174</v>
      </c>
      <c r="B101" s="29"/>
      <c r="C101" s="29"/>
      <c r="D101" s="29"/>
      <c r="E101" s="29"/>
      <c r="F101" s="29"/>
      <c r="G101" s="30"/>
    </row>
    <row r="102" ht="18.0" customHeight="1">
      <c r="A102" s="37" t="s">
        <v>175</v>
      </c>
      <c r="B102" s="38"/>
      <c r="C102" s="38"/>
      <c r="D102" s="38"/>
      <c r="E102" s="38"/>
      <c r="F102" s="38"/>
      <c r="G102" s="39"/>
    </row>
    <row r="103" ht="18.0" customHeight="1">
      <c r="B103" s="40" t="s">
        <v>176</v>
      </c>
      <c r="C103" s="40" t="s">
        <v>177</v>
      </c>
    </row>
    <row r="104" ht="24.0" customHeight="1">
      <c r="B104" s="55" t="s">
        <v>178</v>
      </c>
      <c r="C104" s="33" t="s">
        <v>179</v>
      </c>
      <c r="D104" s="34"/>
      <c r="E104" s="34"/>
      <c r="F104" s="34"/>
      <c r="G104" s="35"/>
    </row>
    <row r="105" ht="24.0" customHeight="1">
      <c r="B105" s="55" t="s">
        <v>180</v>
      </c>
      <c r="C105" s="33" t="s">
        <v>181</v>
      </c>
      <c r="D105" s="34"/>
      <c r="E105" s="34"/>
      <c r="F105" s="34"/>
      <c r="G105" s="35"/>
    </row>
    <row r="106" ht="24.0" customHeight="1">
      <c r="B106" s="55" t="s">
        <v>182</v>
      </c>
      <c r="C106" s="33" t="s">
        <v>183</v>
      </c>
      <c r="D106" s="34"/>
      <c r="E106" s="34"/>
      <c r="F106" s="34"/>
      <c r="G106" s="35"/>
    </row>
    <row r="107" ht="24.0" customHeight="1">
      <c r="B107" s="55" t="s">
        <v>184</v>
      </c>
      <c r="C107" s="33" t="s">
        <v>185</v>
      </c>
      <c r="D107" s="34"/>
      <c r="E107" s="34"/>
      <c r="F107" s="34"/>
      <c r="G107" s="35"/>
    </row>
    <row r="108" ht="24.0" customHeight="1">
      <c r="B108" s="55" t="s">
        <v>186</v>
      </c>
      <c r="C108" s="33" t="s">
        <v>187</v>
      </c>
      <c r="D108" s="34"/>
      <c r="E108" s="34"/>
      <c r="F108" s="34"/>
      <c r="G108" s="35"/>
    </row>
    <row r="109" ht="7.5" customHeight="1"/>
    <row r="110" ht="21.75" customHeight="1">
      <c r="A110" s="28" t="s">
        <v>188</v>
      </c>
      <c r="B110" s="29"/>
      <c r="C110" s="29"/>
      <c r="D110" s="29"/>
      <c r="E110" s="29"/>
      <c r="F110" s="29"/>
      <c r="G110" s="30"/>
    </row>
    <row r="111" ht="27.75" customHeight="1">
      <c r="B111" s="31" t="s">
        <v>189</v>
      </c>
      <c r="C111" s="33"/>
      <c r="D111" s="34"/>
      <c r="E111" s="34"/>
      <c r="F111" s="34"/>
      <c r="G111" s="35"/>
    </row>
    <row r="112" ht="27.75" customHeight="1">
      <c r="B112" s="31" t="s">
        <v>190</v>
      </c>
      <c r="C112" s="33"/>
      <c r="D112" s="34"/>
      <c r="E112" s="34"/>
      <c r="F112" s="34"/>
      <c r="G112" s="35"/>
    </row>
    <row r="113" ht="27.75" customHeight="1">
      <c r="B113" s="31" t="s">
        <v>191</v>
      </c>
      <c r="C113" s="33" t="s">
        <v>192</v>
      </c>
      <c r="D113" s="34"/>
      <c r="E113" s="34"/>
      <c r="F113" s="34"/>
      <c r="G113" s="35"/>
    </row>
    <row r="114" ht="27.75" customHeight="1">
      <c r="B114" s="31" t="s">
        <v>193</v>
      </c>
      <c r="C114" s="33" t="s">
        <v>194</v>
      </c>
      <c r="D114" s="34"/>
      <c r="E114" s="34"/>
      <c r="F114" s="34"/>
      <c r="G114" s="35"/>
    </row>
    <row r="115" ht="7.5" customHeight="1"/>
    <row r="116" ht="19.5" customHeight="1">
      <c r="A116" s="56" t="s">
        <v>195</v>
      </c>
      <c r="B116" s="38"/>
      <c r="C116" s="38"/>
      <c r="D116" s="38"/>
      <c r="E116" s="38"/>
      <c r="F116" s="38"/>
      <c r="G116" s="39"/>
    </row>
    <row r="117" ht="15.75" customHeight="1"/>
    <row r="118" ht="15.75" customHeight="1"/>
    <row r="119" ht="13.5" customHeight="1">
      <c r="A119" s="23"/>
      <c r="B119" s="23"/>
      <c r="C119" s="23"/>
      <c r="D119" s="23"/>
      <c r="E119" s="23"/>
      <c r="F119" s="23"/>
      <c r="G119" s="23"/>
    </row>
    <row r="120" ht="13.5" customHeight="1">
      <c r="A120" s="24"/>
      <c r="B120" s="25"/>
      <c r="C120" s="24"/>
      <c r="D120" s="24"/>
      <c r="E120" s="24"/>
      <c r="F120" s="24" t="s">
        <v>52</v>
      </c>
      <c r="G120" s="24"/>
    </row>
    <row r="121" ht="13.5" customHeight="1">
      <c r="A121" s="24"/>
      <c r="B121" s="24"/>
      <c r="C121" s="24"/>
      <c r="D121" s="24"/>
      <c r="E121" s="24"/>
      <c r="F121" s="24"/>
      <c r="G121" s="24"/>
    </row>
    <row r="122" ht="13.5" customHeight="1">
      <c r="A122" s="24"/>
      <c r="B122" s="24"/>
      <c r="C122" s="24"/>
      <c r="D122" s="24"/>
      <c r="E122" s="24"/>
      <c r="F122" s="24"/>
      <c r="G122" s="24"/>
    </row>
    <row r="123" ht="13.5" customHeight="1">
      <c r="A123" s="24"/>
      <c r="B123" s="24"/>
      <c r="C123" s="24"/>
      <c r="D123" s="24"/>
      <c r="E123" s="24"/>
      <c r="F123" s="24"/>
      <c r="G123" s="24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88:C88"/>
    <mergeCell ref="B89:C89"/>
    <mergeCell ref="B93:C93"/>
    <mergeCell ref="B94:C94"/>
    <mergeCell ref="B98:C98"/>
    <mergeCell ref="B99:C99"/>
    <mergeCell ref="E89:G89"/>
    <mergeCell ref="A91:G91"/>
    <mergeCell ref="E93:G93"/>
    <mergeCell ref="E94:G94"/>
    <mergeCell ref="A96:G96"/>
    <mergeCell ref="E98:G98"/>
    <mergeCell ref="E99:G99"/>
    <mergeCell ref="B1:G18"/>
    <mergeCell ref="A19:G22"/>
    <mergeCell ref="A24:G24"/>
    <mergeCell ref="D25:G25"/>
    <mergeCell ref="D26:G26"/>
    <mergeCell ref="D27:G27"/>
    <mergeCell ref="D28:G28"/>
    <mergeCell ref="D29:G29"/>
    <mergeCell ref="D30:G30"/>
    <mergeCell ref="A32:G32"/>
    <mergeCell ref="A33:G33"/>
    <mergeCell ref="E35:G35"/>
    <mergeCell ref="E36:G36"/>
    <mergeCell ref="E37:G37"/>
    <mergeCell ref="E38:G38"/>
    <mergeCell ref="E39:G39"/>
    <mergeCell ref="A43:G43"/>
    <mergeCell ref="A44:G44"/>
    <mergeCell ref="E46:G46"/>
    <mergeCell ref="E47:G47"/>
    <mergeCell ref="E48:G48"/>
    <mergeCell ref="E49:G49"/>
    <mergeCell ref="E50:G50"/>
    <mergeCell ref="A53:G53"/>
    <mergeCell ref="A54:G54"/>
    <mergeCell ref="E56:G56"/>
    <mergeCell ref="E57:G57"/>
    <mergeCell ref="E58:G58"/>
    <mergeCell ref="E59:G59"/>
    <mergeCell ref="E60:G60"/>
    <mergeCell ref="E61:G61"/>
    <mergeCell ref="A64:G64"/>
    <mergeCell ref="A65:G65"/>
    <mergeCell ref="E67:G67"/>
    <mergeCell ref="E68:G68"/>
    <mergeCell ref="E69:G69"/>
    <mergeCell ref="E70:G70"/>
    <mergeCell ref="E71:G71"/>
    <mergeCell ref="A74:G74"/>
    <mergeCell ref="A85:G85"/>
    <mergeCell ref="A86:G86"/>
    <mergeCell ref="E88:G88"/>
    <mergeCell ref="A110:G110"/>
    <mergeCell ref="C111:G111"/>
    <mergeCell ref="C112:G112"/>
    <mergeCell ref="C113:G113"/>
    <mergeCell ref="C114:G114"/>
    <mergeCell ref="A116:G116"/>
    <mergeCell ref="A101:G101"/>
    <mergeCell ref="A102:G102"/>
    <mergeCell ref="C104:G104"/>
    <mergeCell ref="C105:G105"/>
    <mergeCell ref="C106:G106"/>
    <mergeCell ref="C107:G107"/>
    <mergeCell ref="C108:G10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22.0"/>
    <col customWidth="1" min="4" max="7" width="18.0"/>
    <col customWidth="1" min="8" max="26" width="8.71"/>
  </cols>
  <sheetData>
    <row r="1" ht="258.0" customHeight="1">
      <c r="A1" s="57"/>
    </row>
    <row r="2" ht="49.5" customHeight="1">
      <c r="A2" s="27" t="s">
        <v>53</v>
      </c>
      <c r="B2" s="3"/>
      <c r="C2" s="3"/>
      <c r="D2" s="3"/>
      <c r="E2" s="3"/>
      <c r="F2" s="3"/>
      <c r="G2" s="4"/>
    </row>
    <row r="3">
      <c r="A3" s="5"/>
      <c r="G3" s="6"/>
    </row>
    <row r="4">
      <c r="A4" s="5"/>
      <c r="G4" s="6"/>
    </row>
    <row r="5">
      <c r="A5" s="7"/>
      <c r="B5" s="8"/>
      <c r="C5" s="8"/>
      <c r="D5" s="8"/>
      <c r="E5" s="8"/>
      <c r="F5" s="8"/>
      <c r="G5" s="9"/>
    </row>
    <row r="6" ht="7.5" customHeight="1"/>
    <row r="7" ht="21.75" customHeight="1">
      <c r="A7" s="28" t="s">
        <v>54</v>
      </c>
      <c r="B7" s="29"/>
      <c r="C7" s="29"/>
      <c r="D7" s="29"/>
      <c r="E7" s="29"/>
      <c r="F7" s="29"/>
      <c r="G7" s="30"/>
    </row>
    <row r="8" ht="24.0" customHeight="1">
      <c r="B8" s="31" t="s">
        <v>55</v>
      </c>
      <c r="C8" s="32" t="s">
        <v>56</v>
      </c>
      <c r="D8" s="33"/>
      <c r="E8" s="34"/>
      <c r="F8" s="34"/>
      <c r="G8" s="35"/>
    </row>
    <row r="9" ht="25.5" customHeight="1">
      <c r="B9" s="31" t="s">
        <v>58</v>
      </c>
      <c r="C9" s="32" t="s">
        <v>59</v>
      </c>
      <c r="D9" s="33"/>
      <c r="E9" s="34"/>
      <c r="F9" s="34"/>
      <c r="G9" s="35"/>
    </row>
    <row r="10" ht="28.5" customHeight="1">
      <c r="B10" s="31" t="s">
        <v>60</v>
      </c>
      <c r="C10" s="32" t="s">
        <v>61</v>
      </c>
      <c r="D10" s="33"/>
      <c r="E10" s="34"/>
      <c r="F10" s="34"/>
      <c r="G10" s="35"/>
    </row>
    <row r="11" ht="27.0" customHeight="1">
      <c r="B11" s="31" t="s">
        <v>63</v>
      </c>
      <c r="C11" s="32" t="s">
        <v>64</v>
      </c>
      <c r="D11" s="33"/>
      <c r="E11" s="34"/>
      <c r="F11" s="34"/>
      <c r="G11" s="35"/>
    </row>
    <row r="12" ht="27.0" customHeight="1">
      <c r="B12" s="31" t="s">
        <v>66</v>
      </c>
      <c r="C12" s="32" t="s">
        <v>67</v>
      </c>
      <c r="D12" s="33"/>
      <c r="E12" s="34"/>
      <c r="F12" s="34"/>
      <c r="G12" s="35"/>
    </row>
    <row r="13" ht="18.0" customHeight="1">
      <c r="B13" s="31" t="s">
        <v>68</v>
      </c>
      <c r="C13" s="32" t="s">
        <v>69</v>
      </c>
      <c r="D13" s="36"/>
      <c r="E13" s="34"/>
      <c r="F13" s="34"/>
      <c r="G13" s="35"/>
    </row>
    <row r="14" ht="7.5" customHeight="1"/>
    <row r="15" ht="21.75" customHeight="1">
      <c r="A15" s="28" t="s">
        <v>70</v>
      </c>
      <c r="B15" s="29"/>
      <c r="C15" s="29"/>
      <c r="D15" s="29"/>
      <c r="E15" s="29"/>
      <c r="F15" s="29"/>
      <c r="G15" s="30"/>
    </row>
    <row r="16" ht="18.0" customHeight="1">
      <c r="A16" s="37" t="s">
        <v>71</v>
      </c>
      <c r="B16" s="38"/>
      <c r="C16" s="38"/>
      <c r="D16" s="38"/>
      <c r="E16" s="38"/>
      <c r="F16" s="38"/>
      <c r="G16" s="39"/>
    </row>
    <row r="17" ht="18.0" customHeight="1">
      <c r="B17" s="40" t="s">
        <v>72</v>
      </c>
      <c r="C17" s="40" t="s">
        <v>73</v>
      </c>
      <c r="D17" s="40" t="s">
        <v>74</v>
      </c>
      <c r="E17" s="40" t="s">
        <v>75</v>
      </c>
    </row>
    <row r="18" ht="19.5" customHeight="1">
      <c r="B18" s="41" t="s">
        <v>76</v>
      </c>
      <c r="C18" s="42"/>
      <c r="D18" s="43" t="str">
        <f>IFERROR(C18/D13,"-")</f>
        <v>-</v>
      </c>
      <c r="E18" s="33"/>
      <c r="F18" s="34"/>
      <c r="G18" s="35"/>
    </row>
    <row r="19" ht="19.5" customHeight="1">
      <c r="B19" s="41" t="s">
        <v>78</v>
      </c>
      <c r="C19" s="42"/>
      <c r="D19" s="43" t="str">
        <f>IFERROR(C19/D13,"-")</f>
        <v>-</v>
      </c>
      <c r="E19" s="33"/>
      <c r="F19" s="34"/>
      <c r="G19" s="35"/>
    </row>
    <row r="20" ht="19.5" customHeight="1">
      <c r="B20" s="41" t="s">
        <v>80</v>
      </c>
      <c r="C20" s="42"/>
      <c r="D20" s="43" t="str">
        <f>IFERROR(C20/D13,"-")</f>
        <v>-</v>
      </c>
      <c r="E20" s="33"/>
      <c r="F20" s="34"/>
      <c r="G20" s="35"/>
    </row>
    <row r="21" ht="19.5" customHeight="1">
      <c r="B21" s="41" t="s">
        <v>82</v>
      </c>
      <c r="C21" s="42"/>
      <c r="D21" s="43" t="str">
        <f>IFERROR(C21/D13,"-")</f>
        <v>-</v>
      </c>
      <c r="E21" s="33"/>
      <c r="F21" s="34"/>
      <c r="G21" s="35"/>
    </row>
    <row r="22" ht="19.5" customHeight="1">
      <c r="B22" s="41" t="s">
        <v>84</v>
      </c>
      <c r="C22" s="42"/>
      <c r="D22" s="43" t="str">
        <f>IFERROR(C22/D13,"-")</f>
        <v>-</v>
      </c>
      <c r="E22" s="33"/>
      <c r="F22" s="34"/>
      <c r="G22" s="35"/>
    </row>
    <row r="23" ht="21.75" customHeight="1">
      <c r="B23" s="44" t="s">
        <v>86</v>
      </c>
      <c r="C23" s="45">
        <f>SUM(C18:C22)</f>
        <v>0</v>
      </c>
      <c r="D23" s="43" t="str">
        <f>IFERROR(C23/D13,"-")</f>
        <v>-</v>
      </c>
    </row>
    <row r="24" ht="19.5" customHeight="1">
      <c r="B24" s="46" t="s">
        <v>87</v>
      </c>
      <c r="C24" s="45">
        <f>D13-C23</f>
        <v>0</v>
      </c>
      <c r="D24" s="43" t="str">
        <f>IFERROR((D13-C23)/D13,"-")</f>
        <v>-</v>
      </c>
      <c r="E24" s="47" t="s">
        <v>88</v>
      </c>
    </row>
    <row r="25" ht="7.5" customHeight="1"/>
    <row r="26" ht="21.75" customHeight="1">
      <c r="A26" s="28" t="s">
        <v>89</v>
      </c>
      <c r="B26" s="29"/>
      <c r="C26" s="29"/>
      <c r="D26" s="29"/>
      <c r="E26" s="29"/>
      <c r="F26" s="29"/>
      <c r="G26" s="30"/>
    </row>
    <row r="27" ht="18.0" customHeight="1">
      <c r="A27" s="37" t="s">
        <v>90</v>
      </c>
      <c r="B27" s="38"/>
      <c r="C27" s="38"/>
      <c r="D27" s="38"/>
      <c r="E27" s="38"/>
      <c r="F27" s="38"/>
      <c r="G27" s="39"/>
    </row>
    <row r="28" ht="18.0" customHeight="1">
      <c r="B28" s="40" t="s">
        <v>91</v>
      </c>
      <c r="C28" s="40" t="s">
        <v>92</v>
      </c>
      <c r="D28" s="40" t="s">
        <v>93</v>
      </c>
      <c r="E28" s="40" t="s">
        <v>94</v>
      </c>
    </row>
    <row r="29" ht="19.5" customHeight="1">
      <c r="B29" s="41" t="s">
        <v>95</v>
      </c>
      <c r="C29" s="42"/>
      <c r="D29" s="45">
        <f t="shared" ref="D29:D34" si="1">C29*60</f>
        <v>0</v>
      </c>
      <c r="E29" s="33"/>
      <c r="F29" s="34"/>
      <c r="G29" s="35"/>
    </row>
    <row r="30" ht="19.5" customHeight="1">
      <c r="B30" s="41" t="s">
        <v>97</v>
      </c>
      <c r="C30" s="42"/>
      <c r="D30" s="45">
        <f t="shared" si="1"/>
        <v>0</v>
      </c>
      <c r="E30" s="33"/>
      <c r="F30" s="34"/>
      <c r="G30" s="35"/>
    </row>
    <row r="31" ht="19.5" customHeight="1">
      <c r="B31" s="41" t="s">
        <v>99</v>
      </c>
      <c r="C31" s="42"/>
      <c r="D31" s="45">
        <f t="shared" si="1"/>
        <v>0</v>
      </c>
      <c r="E31" s="33"/>
      <c r="F31" s="34"/>
      <c r="G31" s="35"/>
    </row>
    <row r="32" ht="19.5" customHeight="1">
      <c r="B32" s="41" t="s">
        <v>101</v>
      </c>
      <c r="C32" s="42"/>
      <c r="D32" s="45">
        <f t="shared" si="1"/>
        <v>0</v>
      </c>
      <c r="E32" s="33"/>
      <c r="F32" s="34"/>
      <c r="G32" s="35"/>
    </row>
    <row r="33" ht="19.5" customHeight="1">
      <c r="B33" s="41" t="s">
        <v>103</v>
      </c>
      <c r="C33" s="42"/>
      <c r="D33" s="45">
        <f t="shared" si="1"/>
        <v>0</v>
      </c>
      <c r="E33" s="33"/>
      <c r="F33" s="34"/>
      <c r="G33" s="35"/>
    </row>
    <row r="34" ht="21.75" customHeight="1">
      <c r="B34" s="44" t="s">
        <v>105</v>
      </c>
      <c r="C34" s="45">
        <f>SUM(C29:C33)</f>
        <v>0</v>
      </c>
      <c r="D34" s="45">
        <f t="shared" si="1"/>
        <v>0</v>
      </c>
    </row>
    <row r="35" ht="7.5" customHeight="1"/>
    <row r="36" ht="21.75" customHeight="1">
      <c r="A36" s="28" t="s">
        <v>106</v>
      </c>
      <c r="B36" s="29"/>
      <c r="C36" s="29"/>
      <c r="D36" s="29"/>
      <c r="E36" s="29"/>
      <c r="F36" s="29"/>
      <c r="G36" s="30"/>
    </row>
    <row r="37" ht="18.0" customHeight="1">
      <c r="A37" s="37" t="s">
        <v>107</v>
      </c>
      <c r="B37" s="38"/>
      <c r="C37" s="38"/>
      <c r="D37" s="38"/>
      <c r="E37" s="38"/>
      <c r="F37" s="38"/>
      <c r="G37" s="39"/>
    </row>
    <row r="38" ht="18.0" customHeight="1">
      <c r="B38" s="40" t="s">
        <v>108</v>
      </c>
      <c r="C38" s="40" t="s">
        <v>92</v>
      </c>
      <c r="D38" s="40" t="s">
        <v>93</v>
      </c>
      <c r="E38" s="40" t="s">
        <v>109</v>
      </c>
    </row>
    <row r="39" ht="19.5" customHeight="1">
      <c r="B39" s="41" t="s">
        <v>110</v>
      </c>
      <c r="C39" s="42"/>
      <c r="D39" s="45">
        <f t="shared" ref="D39:D45" si="2">C39*60</f>
        <v>0</v>
      </c>
      <c r="E39" s="33"/>
      <c r="F39" s="34"/>
      <c r="G39" s="35"/>
    </row>
    <row r="40" ht="19.5" customHeight="1">
      <c r="B40" s="41" t="s">
        <v>112</v>
      </c>
      <c r="C40" s="42"/>
      <c r="D40" s="45">
        <f t="shared" si="2"/>
        <v>0</v>
      </c>
      <c r="E40" s="33"/>
      <c r="F40" s="34"/>
      <c r="G40" s="35"/>
    </row>
    <row r="41" ht="19.5" customHeight="1">
      <c r="B41" s="41" t="s">
        <v>114</v>
      </c>
      <c r="C41" s="42"/>
      <c r="D41" s="45">
        <f t="shared" si="2"/>
        <v>0</v>
      </c>
      <c r="E41" s="33"/>
      <c r="F41" s="34"/>
      <c r="G41" s="35"/>
    </row>
    <row r="42" ht="19.5" customHeight="1">
      <c r="B42" s="41" t="s">
        <v>116</v>
      </c>
      <c r="C42" s="42"/>
      <c r="D42" s="45">
        <f t="shared" si="2"/>
        <v>0</v>
      </c>
      <c r="E42" s="33"/>
      <c r="F42" s="34"/>
      <c r="G42" s="35"/>
    </row>
    <row r="43" ht="19.5" customHeight="1">
      <c r="B43" s="41" t="s">
        <v>118</v>
      </c>
      <c r="C43" s="42"/>
      <c r="D43" s="45">
        <f t="shared" si="2"/>
        <v>0</v>
      </c>
      <c r="E43" s="33"/>
      <c r="F43" s="34"/>
      <c r="G43" s="35"/>
    </row>
    <row r="44" ht="19.5" customHeight="1">
      <c r="B44" s="41" t="s">
        <v>120</v>
      </c>
      <c r="C44" s="42"/>
      <c r="D44" s="45">
        <f t="shared" si="2"/>
        <v>0</v>
      </c>
      <c r="E44" s="33"/>
      <c r="F44" s="34"/>
      <c r="G44" s="35"/>
    </row>
    <row r="45" ht="21.75" customHeight="1">
      <c r="B45" s="44" t="s">
        <v>122</v>
      </c>
      <c r="C45" s="45">
        <f>SUM(C39:C44)</f>
        <v>0</v>
      </c>
      <c r="D45" s="45">
        <f t="shared" si="2"/>
        <v>0</v>
      </c>
    </row>
    <row r="46" ht="7.5" customHeight="1"/>
    <row r="47" ht="21.75" customHeight="1">
      <c r="A47" s="28" t="s">
        <v>123</v>
      </c>
      <c r="B47" s="29"/>
      <c r="C47" s="29"/>
      <c r="D47" s="29"/>
      <c r="E47" s="29"/>
      <c r="F47" s="29"/>
      <c r="G47" s="30"/>
    </row>
    <row r="48" ht="18.0" customHeight="1">
      <c r="A48" s="37" t="s">
        <v>124</v>
      </c>
      <c r="B48" s="38"/>
      <c r="C48" s="38"/>
      <c r="D48" s="38"/>
      <c r="E48" s="38"/>
      <c r="F48" s="38"/>
      <c r="G48" s="39"/>
    </row>
    <row r="49" ht="18.0" customHeight="1">
      <c r="B49" s="40" t="s">
        <v>125</v>
      </c>
      <c r="C49" s="40" t="s">
        <v>126</v>
      </c>
      <c r="D49" s="40" t="s">
        <v>127</v>
      </c>
      <c r="E49" s="40" t="s">
        <v>128</v>
      </c>
    </row>
    <row r="50" ht="19.5" customHeight="1">
      <c r="B50" s="41" t="s">
        <v>129</v>
      </c>
      <c r="C50" s="42"/>
      <c r="D50" s="42"/>
      <c r="E50" s="33"/>
      <c r="F50" s="34"/>
      <c r="G50" s="35"/>
    </row>
    <row r="51" ht="19.5" customHeight="1">
      <c r="B51" s="41" t="s">
        <v>131</v>
      </c>
      <c r="C51" s="42"/>
      <c r="D51" s="42"/>
      <c r="E51" s="33"/>
      <c r="F51" s="34"/>
      <c r="G51" s="35"/>
    </row>
    <row r="52" ht="19.5" customHeight="1">
      <c r="B52" s="41" t="s">
        <v>132</v>
      </c>
      <c r="C52" s="42"/>
      <c r="D52" s="42"/>
      <c r="E52" s="33"/>
      <c r="F52" s="34"/>
      <c r="G52" s="35"/>
    </row>
    <row r="53" ht="19.5" customHeight="1">
      <c r="B53" s="41" t="s">
        <v>133</v>
      </c>
      <c r="C53" s="42"/>
      <c r="D53" s="42"/>
      <c r="E53" s="33"/>
      <c r="F53" s="34"/>
      <c r="G53" s="35"/>
    </row>
    <row r="54" ht="19.5" customHeight="1">
      <c r="B54" s="41" t="s">
        <v>134</v>
      </c>
      <c r="C54" s="42"/>
      <c r="D54" s="42"/>
      <c r="E54" s="33"/>
      <c r="F54" s="34"/>
      <c r="G54" s="35"/>
    </row>
    <row r="55" ht="21.75" customHeight="1">
      <c r="B55" s="44" t="s">
        <v>135</v>
      </c>
      <c r="C55" s="45">
        <f t="shared" ref="C55:D55" si="3">SUM(C50:C54)</f>
        <v>0</v>
      </c>
      <c r="D55" s="45">
        <f t="shared" si="3"/>
        <v>0</v>
      </c>
    </row>
    <row r="56" ht="7.5" customHeight="1"/>
    <row r="57" ht="21.75" customHeight="1">
      <c r="A57" s="28" t="s">
        <v>136</v>
      </c>
      <c r="B57" s="29"/>
      <c r="C57" s="29"/>
      <c r="D57" s="29"/>
      <c r="E57" s="29"/>
      <c r="F57" s="29"/>
      <c r="G57" s="30"/>
    </row>
    <row r="58" ht="15.75" customHeight="1">
      <c r="B58" s="48" t="s">
        <v>137</v>
      </c>
    </row>
    <row r="59" ht="18.0" customHeight="1">
      <c r="B59" s="40" t="s">
        <v>72</v>
      </c>
      <c r="C59" s="40" t="s">
        <v>138</v>
      </c>
      <c r="D59" s="40" t="s">
        <v>139</v>
      </c>
    </row>
    <row r="60" ht="19.5" customHeight="1">
      <c r="B60" s="41" t="s">
        <v>140</v>
      </c>
      <c r="C60" s="45">
        <f>C34</f>
        <v>0</v>
      </c>
      <c r="D60" s="47" t="s">
        <v>196</v>
      </c>
    </row>
    <row r="61" ht="19.5" customHeight="1">
      <c r="B61" s="41" t="s">
        <v>142</v>
      </c>
      <c r="C61" s="45">
        <f>C45</f>
        <v>0</v>
      </c>
      <c r="D61" s="47" t="s">
        <v>196</v>
      </c>
    </row>
    <row r="62" ht="19.5" customHeight="1">
      <c r="B62" s="41" t="s">
        <v>144</v>
      </c>
      <c r="C62" s="42"/>
      <c r="D62" s="47" t="s">
        <v>145</v>
      </c>
    </row>
    <row r="63" ht="19.5" customHeight="1">
      <c r="B63" s="41" t="s">
        <v>146</v>
      </c>
      <c r="C63" s="42"/>
      <c r="D63" s="47" t="s">
        <v>147</v>
      </c>
    </row>
    <row r="64" ht="21.75" customHeight="1">
      <c r="B64" s="49" t="s">
        <v>148</v>
      </c>
      <c r="C64" s="45">
        <f>SUM(C60:C63)</f>
        <v>0</v>
      </c>
    </row>
    <row r="65" ht="19.5" customHeight="1">
      <c r="B65" s="41" t="s">
        <v>149</v>
      </c>
      <c r="C65" s="45">
        <f>C55</f>
        <v>0</v>
      </c>
      <c r="D65" s="47" t="s">
        <v>150</v>
      </c>
    </row>
    <row r="66" ht="27.75" customHeight="1">
      <c r="B66" s="50" t="s">
        <v>151</v>
      </c>
      <c r="C66" s="51">
        <f>C64-C65</f>
        <v>0</v>
      </c>
      <c r="D66" s="52" t="s">
        <v>152</v>
      </c>
    </row>
    <row r="67" ht="7.5" customHeight="1"/>
    <row r="68" ht="21.75" customHeight="1">
      <c r="A68" s="28" t="s">
        <v>153</v>
      </c>
      <c r="B68" s="29"/>
      <c r="C68" s="29"/>
      <c r="D68" s="29"/>
      <c r="E68" s="29"/>
      <c r="F68" s="29"/>
      <c r="G68" s="30"/>
    </row>
    <row r="69" ht="18.0" customHeight="1">
      <c r="A69" s="37" t="s">
        <v>154</v>
      </c>
      <c r="B69" s="38"/>
      <c r="C69" s="38"/>
      <c r="D69" s="38"/>
      <c r="E69" s="38"/>
      <c r="F69" s="38"/>
      <c r="G69" s="39"/>
    </row>
    <row r="70" ht="18.0" customHeight="1">
      <c r="B70" s="40" t="s">
        <v>155</v>
      </c>
      <c r="C70" s="40" t="s">
        <v>156</v>
      </c>
      <c r="D70" s="40" t="s">
        <v>157</v>
      </c>
    </row>
    <row r="71" ht="21.75" customHeight="1">
      <c r="B71" s="33"/>
      <c r="C71" s="35"/>
      <c r="D71" s="54"/>
      <c r="E71" s="33"/>
      <c r="F71" s="34"/>
      <c r="G71" s="35"/>
    </row>
    <row r="72" ht="21.75" customHeight="1">
      <c r="B72" s="33"/>
      <c r="C72" s="35"/>
      <c r="D72" s="54"/>
      <c r="E72" s="33"/>
      <c r="F72" s="34"/>
      <c r="G72" s="35"/>
    </row>
    <row r="73" ht="4.5" customHeight="1"/>
    <row r="74" ht="18.0" customHeight="1">
      <c r="A74" s="37" t="s">
        <v>162</v>
      </c>
      <c r="B74" s="38"/>
      <c r="C74" s="38"/>
      <c r="D74" s="38"/>
      <c r="E74" s="38"/>
      <c r="F74" s="38"/>
      <c r="G74" s="39"/>
    </row>
    <row r="75" ht="18.0" customHeight="1">
      <c r="B75" s="40" t="s">
        <v>155</v>
      </c>
      <c r="C75" s="40" t="s">
        <v>156</v>
      </c>
      <c r="D75" s="40" t="s">
        <v>157</v>
      </c>
    </row>
    <row r="76" ht="21.75" customHeight="1">
      <c r="B76" s="33"/>
      <c r="C76" s="35"/>
      <c r="D76" s="54"/>
      <c r="E76" s="33"/>
      <c r="F76" s="34"/>
      <c r="G76" s="35"/>
    </row>
    <row r="77" ht="21.75" customHeight="1">
      <c r="B77" s="33"/>
      <c r="C77" s="35"/>
      <c r="D77" s="54"/>
      <c r="E77" s="33"/>
      <c r="F77" s="34"/>
      <c r="G77" s="35"/>
    </row>
    <row r="78" ht="4.5" customHeight="1"/>
    <row r="79" ht="18.0" customHeight="1">
      <c r="A79" s="37" t="s">
        <v>167</v>
      </c>
      <c r="B79" s="38"/>
      <c r="C79" s="38"/>
      <c r="D79" s="38"/>
      <c r="E79" s="38"/>
      <c r="F79" s="38"/>
      <c r="G79" s="39"/>
    </row>
    <row r="80" ht="18.0" customHeight="1">
      <c r="B80" s="40" t="s">
        <v>155</v>
      </c>
      <c r="C80" s="40" t="s">
        <v>156</v>
      </c>
      <c r="D80" s="40" t="s">
        <v>157</v>
      </c>
    </row>
    <row r="81" ht="21.75" customHeight="1">
      <c r="B81" s="33"/>
      <c r="C81" s="35"/>
      <c r="D81" s="54"/>
      <c r="E81" s="33"/>
      <c r="F81" s="34"/>
      <c r="G81" s="35"/>
    </row>
    <row r="82" ht="21.75" customHeight="1">
      <c r="B82" s="33"/>
      <c r="C82" s="35"/>
      <c r="D82" s="54"/>
      <c r="E82" s="33"/>
      <c r="F82" s="34"/>
      <c r="G82" s="35"/>
    </row>
    <row r="83" ht="4.5" customHeight="1"/>
    <row r="84" ht="21.75" customHeight="1">
      <c r="A84" s="28" t="s">
        <v>174</v>
      </c>
      <c r="B84" s="29"/>
      <c r="C84" s="29"/>
      <c r="D84" s="29"/>
      <c r="E84" s="29"/>
      <c r="F84" s="29"/>
      <c r="G84" s="30"/>
    </row>
    <row r="85" ht="18.0" customHeight="1">
      <c r="A85" s="37" t="s">
        <v>175</v>
      </c>
      <c r="B85" s="38"/>
      <c r="C85" s="38"/>
      <c r="D85" s="38"/>
      <c r="E85" s="38"/>
      <c r="F85" s="38"/>
      <c r="G85" s="39"/>
    </row>
    <row r="86" ht="18.0" customHeight="1">
      <c r="B86" s="40" t="s">
        <v>176</v>
      </c>
      <c r="C86" s="40" t="s">
        <v>177</v>
      </c>
    </row>
    <row r="87" ht="24.0" customHeight="1">
      <c r="B87" s="55" t="s">
        <v>178</v>
      </c>
      <c r="C87" s="33"/>
      <c r="D87" s="34"/>
      <c r="E87" s="34"/>
      <c r="F87" s="34"/>
      <c r="G87" s="35"/>
    </row>
    <row r="88" ht="24.0" customHeight="1">
      <c r="B88" s="55" t="s">
        <v>180</v>
      </c>
      <c r="C88" s="33"/>
      <c r="D88" s="34"/>
      <c r="E88" s="34"/>
      <c r="F88" s="34"/>
      <c r="G88" s="35"/>
    </row>
    <row r="89" ht="24.0" customHeight="1">
      <c r="B89" s="55" t="s">
        <v>182</v>
      </c>
      <c r="C89" s="33"/>
      <c r="D89" s="34"/>
      <c r="E89" s="34"/>
      <c r="F89" s="34"/>
      <c r="G89" s="35"/>
    </row>
    <row r="90" ht="24.0" customHeight="1">
      <c r="B90" s="55" t="s">
        <v>184</v>
      </c>
      <c r="C90" s="33"/>
      <c r="D90" s="34"/>
      <c r="E90" s="34"/>
      <c r="F90" s="34"/>
      <c r="G90" s="35"/>
    </row>
    <row r="91" ht="24.0" customHeight="1">
      <c r="B91" s="55" t="s">
        <v>186</v>
      </c>
      <c r="C91" s="33"/>
      <c r="D91" s="34"/>
      <c r="E91" s="34"/>
      <c r="F91" s="34"/>
      <c r="G91" s="35"/>
    </row>
    <row r="92" ht="7.5" customHeight="1"/>
    <row r="93" ht="21.75" customHeight="1">
      <c r="A93" s="28" t="s">
        <v>188</v>
      </c>
      <c r="B93" s="29"/>
      <c r="C93" s="29"/>
      <c r="D93" s="29"/>
      <c r="E93" s="29"/>
      <c r="F93" s="29"/>
      <c r="G93" s="30"/>
    </row>
    <row r="94" ht="27.75" customHeight="1">
      <c r="B94" s="31" t="s">
        <v>189</v>
      </c>
      <c r="C94" s="33"/>
      <c r="D94" s="34"/>
      <c r="E94" s="34"/>
      <c r="F94" s="34"/>
      <c r="G94" s="35"/>
    </row>
    <row r="95" ht="27.75" customHeight="1">
      <c r="B95" s="31" t="s">
        <v>190</v>
      </c>
      <c r="C95" s="33"/>
      <c r="D95" s="34"/>
      <c r="E95" s="34"/>
      <c r="F95" s="34"/>
      <c r="G95" s="35"/>
    </row>
    <row r="96" ht="27.75" customHeight="1">
      <c r="B96" s="31" t="s">
        <v>191</v>
      </c>
      <c r="C96" s="33"/>
      <c r="D96" s="34"/>
      <c r="E96" s="34"/>
      <c r="F96" s="34"/>
      <c r="G96" s="35"/>
    </row>
    <row r="97" ht="27.75" customHeight="1">
      <c r="B97" s="31" t="s">
        <v>193</v>
      </c>
      <c r="C97" s="33"/>
      <c r="D97" s="34"/>
      <c r="E97" s="34"/>
      <c r="F97" s="34"/>
      <c r="G97" s="35"/>
    </row>
    <row r="98" ht="7.5" customHeight="1"/>
    <row r="99" ht="19.5" customHeight="1">
      <c r="A99" s="56" t="s">
        <v>195</v>
      </c>
      <c r="B99" s="38"/>
      <c r="C99" s="38"/>
      <c r="D99" s="38"/>
      <c r="E99" s="38"/>
      <c r="F99" s="38"/>
      <c r="G99" s="39"/>
    </row>
    <row r="100" ht="13.5" customHeight="1">
      <c r="A100" s="23"/>
      <c r="B100" s="23"/>
      <c r="C100" s="23"/>
      <c r="D100" s="23"/>
      <c r="E100" s="23"/>
      <c r="F100" s="23"/>
      <c r="G100" s="23"/>
    </row>
    <row r="101" ht="13.5" customHeight="1">
      <c r="A101" s="24"/>
      <c r="B101" s="25"/>
      <c r="C101" s="24"/>
      <c r="D101" s="24"/>
      <c r="F101" s="24" t="s">
        <v>52</v>
      </c>
      <c r="G101" s="24"/>
    </row>
    <row r="102" ht="13.5" customHeight="1">
      <c r="A102" s="24"/>
      <c r="B102" s="24"/>
      <c r="C102" s="24"/>
      <c r="D102" s="24"/>
      <c r="E102" s="24"/>
      <c r="F102" s="24"/>
      <c r="G102" s="24"/>
    </row>
    <row r="103" ht="13.5" customHeight="1">
      <c r="A103" s="24"/>
      <c r="B103" s="24"/>
      <c r="C103" s="24"/>
      <c r="D103" s="24"/>
      <c r="E103" s="24"/>
      <c r="F103" s="24"/>
      <c r="G103" s="24"/>
    </row>
    <row r="104" ht="13.5" customHeight="1">
      <c r="A104" s="24"/>
      <c r="B104" s="24"/>
      <c r="C104" s="24"/>
      <c r="D104" s="24"/>
      <c r="E104" s="24"/>
      <c r="F104" s="24"/>
      <c r="G104" s="24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71:C71"/>
    <mergeCell ref="B72:C72"/>
    <mergeCell ref="B76:C76"/>
    <mergeCell ref="B77:C77"/>
    <mergeCell ref="B81:C81"/>
    <mergeCell ref="B82:C82"/>
    <mergeCell ref="E72:G72"/>
    <mergeCell ref="A74:G74"/>
    <mergeCell ref="E76:G76"/>
    <mergeCell ref="E77:G77"/>
    <mergeCell ref="A79:G79"/>
    <mergeCell ref="E81:G81"/>
    <mergeCell ref="E82:G82"/>
    <mergeCell ref="A1:G1"/>
    <mergeCell ref="A2:G5"/>
    <mergeCell ref="A7:G7"/>
    <mergeCell ref="D8:G8"/>
    <mergeCell ref="D9:G9"/>
    <mergeCell ref="D10:G10"/>
    <mergeCell ref="D11:G11"/>
    <mergeCell ref="D12:G12"/>
    <mergeCell ref="D13:G13"/>
    <mergeCell ref="A15:G15"/>
    <mergeCell ref="A16:G16"/>
    <mergeCell ref="E18:G18"/>
    <mergeCell ref="E19:G19"/>
    <mergeCell ref="E20:G20"/>
    <mergeCell ref="E21:G21"/>
    <mergeCell ref="E22:G22"/>
    <mergeCell ref="A26:G26"/>
    <mergeCell ref="A27:G27"/>
    <mergeCell ref="E29:G29"/>
    <mergeCell ref="E30:G30"/>
    <mergeCell ref="E31:G31"/>
    <mergeCell ref="E32:G32"/>
    <mergeCell ref="E33:G33"/>
    <mergeCell ref="A36:G36"/>
    <mergeCell ref="A37:G37"/>
    <mergeCell ref="E39:G39"/>
    <mergeCell ref="E40:G40"/>
    <mergeCell ref="E41:G41"/>
    <mergeCell ref="E42:G42"/>
    <mergeCell ref="E43:G43"/>
    <mergeCell ref="E44:G44"/>
    <mergeCell ref="A47:G47"/>
    <mergeCell ref="A48:G48"/>
    <mergeCell ref="E50:G50"/>
    <mergeCell ref="E51:G51"/>
    <mergeCell ref="E52:G52"/>
    <mergeCell ref="E53:G53"/>
    <mergeCell ref="E54:G54"/>
    <mergeCell ref="A57:G57"/>
    <mergeCell ref="A68:G68"/>
    <mergeCell ref="A69:G69"/>
    <mergeCell ref="E71:G71"/>
    <mergeCell ref="A93:G93"/>
    <mergeCell ref="C94:G94"/>
    <mergeCell ref="C95:G95"/>
    <mergeCell ref="C96:G96"/>
    <mergeCell ref="C97:G97"/>
    <mergeCell ref="A99:G99"/>
    <mergeCell ref="A84:G84"/>
    <mergeCell ref="A85:G85"/>
    <mergeCell ref="C87:G87"/>
    <mergeCell ref="C88:G88"/>
    <mergeCell ref="C89:G89"/>
    <mergeCell ref="C90:G90"/>
    <mergeCell ref="C91:G9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2026-04-10T09:31:18Z</dcterms:created>
  <dc:creator>openpyxl</dc:creator>
</cp:coreProperties>
</file>